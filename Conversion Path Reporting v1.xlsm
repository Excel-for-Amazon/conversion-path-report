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etorg10885437.sharepoint.com/sites/georges.blog/Shared Documents/1. Everything/Automation Macros/Conversion Path/"/>
    </mc:Choice>
  </mc:AlternateContent>
  <xr:revisionPtr revIDLastSave="5" documentId="13_ncr:1_{503211B2-86E4-3E4A-9F09-E2C09A527009}" xr6:coauthVersionLast="47" xr6:coauthVersionMax="47" xr10:uidLastSave="{A438A21B-7B52-4945-92EC-C210E4BDA0B6}"/>
  <bookViews>
    <workbookView xWindow="0" yWindow="500" windowWidth="28800" windowHeight="15920" xr2:uid="{F76BAE17-0131-1944-8BC2-49D78A7A68A8}"/>
  </bookViews>
  <sheets>
    <sheet name="Analysis" sheetId="3" r:id="rId1"/>
    <sheet name="Conversion Path" sheetId="1" state="hidden" r:id="rId2"/>
    <sheet name="All Campaigns" sheetId="2" r:id="rId3"/>
    <sheet name="Backup" sheetId="6" r:id="rId4"/>
    <sheet name="CVR Path Original" sheetId="4" r:id="rId5"/>
  </sheets>
  <definedNames>
    <definedName name="_xlnm._FilterDatabase" localSheetId="2" hidden="1">'All Campaigns'!$A$1:$AJ$638</definedName>
    <definedName name="_xlnm._FilterDatabase" localSheetId="0" hidden="1">Analysis!$A$5:$K$10</definedName>
    <definedName name="_xlnm._FilterDatabase" localSheetId="1" hidden="1">'Conversion Path'!$A$1:$N$23</definedName>
    <definedName name="_xlnm._FilterDatabase" localSheetId="4" hidden="1">'CVR Path Original'!$A$1:$N$23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3" l="1"/>
  <c r="G8" i="3"/>
  <c r="G7" i="3"/>
  <c r="G6" i="3"/>
  <c r="K7" i="3" l="1"/>
  <c r="K8" i="3"/>
  <c r="K9" i="3"/>
  <c r="K6" i="3"/>
  <c r="I7" i="3"/>
  <c r="I8" i="3"/>
  <c r="I9" i="3"/>
  <c r="I6" i="3"/>
  <c r="E10" i="3" l="1"/>
  <c r="F10" i="3"/>
  <c r="D10" i="3"/>
  <c r="C10" i="3"/>
  <c r="B10" i="3"/>
  <c r="G31" i="6"/>
  <c r="G30" i="6"/>
  <c r="I29" i="6"/>
  <c r="G29" i="6"/>
  <c r="G28" i="6"/>
</calcChain>
</file>

<file path=xl/sharedStrings.xml><?xml version="1.0" encoding="utf-8"?>
<sst xmlns="http://schemas.openxmlformats.org/spreadsheetml/2006/main" count="6018" uniqueCount="819">
  <si>
    <t>Start Date</t>
  </si>
  <si>
    <t>End Date</t>
  </si>
  <si>
    <t>Brand</t>
  </si>
  <si>
    <t>Conversion path</t>
  </si>
  <si>
    <t>Sales</t>
  </si>
  <si>
    <t>Purchases</t>
  </si>
  <si>
    <t>New-to-brand product sales</t>
  </si>
  <si>
    <t>New-to-brand purchases</t>
  </si>
  <si>
    <t>Path sales %</t>
  </si>
  <si>
    <t>Le Toy Van</t>
  </si>
  <si>
    <t>Online Video (Sponsored Brands) &gt; Sponsored Products &gt; [Purchase]</t>
  </si>
  <si>
    <t>Display (Sponsored Brands) &gt; Sponsored Products &gt;  (Sponsored Display) &gt; [Purchase]</t>
  </si>
  <si>
    <t>Display (Sponsored Brands) &gt; [Purchase]</t>
  </si>
  <si>
    <t>(Sponsored Display) &gt; Sponsored Products &gt; [Purchase]</t>
  </si>
  <si>
    <t>(Sponsored Display) &gt; Display (Sponsored Brands) &gt; Sponsored Products &gt; [Purchase]</t>
  </si>
  <si>
    <t>Display (Sponsored Brands) &gt; Online Video (Sponsored Brands) &gt; [Purchase]</t>
  </si>
  <si>
    <t>Sponsored Products &gt; Online Video (Sponsored Brands) &gt; [Purchase]</t>
  </si>
  <si>
    <t>Sponsored Products &gt;  (Sponsored Display) &gt; [Purchase]</t>
  </si>
  <si>
    <t>Sponsored Products &gt; Display (Sponsored Brands) &gt;  (Sponsored Display) &gt; [Purchase]</t>
  </si>
  <si>
    <t>Display (Sponsored Brands) &gt;  (Sponsored Display) &gt; Sponsored Products &gt; [Purchase]</t>
  </si>
  <si>
    <t>Display (Sponsored Brands) &gt;  (Sponsored Display) &gt; [Purchase]</t>
  </si>
  <si>
    <t>Online Video (Sponsored Brands) &gt; Sponsored Products &gt;  (Sponsored Display) &gt; Display (Sponsored Brands) &gt; [Purchase]</t>
  </si>
  <si>
    <t>Online Video (Sponsored Brands) &gt; [Purchase]</t>
  </si>
  <si>
    <t>(Sponsored Display) &gt; Sponsored Products &gt; Display (Sponsored Brands) &gt; [Purchase]</t>
  </si>
  <si>
    <t>Display (Sponsored Brands) &gt; Sponsored Products &gt; [Purchase]</t>
  </si>
  <si>
    <t>(Sponsored Display) &gt; [Purchase]</t>
  </si>
  <si>
    <t>Sponsored Products &gt;  (Sponsored Display) &gt; Display (Sponsored Brands) &gt; [Purchase]</t>
  </si>
  <si>
    <t>Sponsored Products &gt; Display (Sponsored Brands) &gt; [Purchase]</t>
  </si>
  <si>
    <t>(Sponsored Display) &gt; Online Video (Sponsored Brands) &gt; [Purchase]</t>
  </si>
  <si>
    <t>Sponsored Products &gt; Online Video (Sponsored Brands) &gt;  (Sponsored Display) &gt; [Purchase]</t>
  </si>
  <si>
    <t>(Sponsored Display) &gt; Display (Sponsored Brands) &gt; [Purchase]</t>
  </si>
  <si>
    <t>Sponsored Products &gt; [Purchase]</t>
  </si>
  <si>
    <t>Date Range</t>
  </si>
  <si>
    <t>Dec 15 - Jan 15</t>
  </si>
  <si>
    <t>State</t>
  </si>
  <si>
    <t>Campaigns</t>
  </si>
  <si>
    <t>Status</t>
  </si>
  <si>
    <t>Type</t>
  </si>
  <si>
    <t>Targeting</t>
  </si>
  <si>
    <t>Campaign bidding strategy</t>
  </si>
  <si>
    <t>Start date</t>
  </si>
  <si>
    <t>End date</t>
  </si>
  <si>
    <t>Portfolio</t>
  </si>
  <si>
    <t>Budget(USD)</t>
  </si>
  <si>
    <t>Top-of-search IS</t>
  </si>
  <si>
    <t>Cost type</t>
  </si>
  <si>
    <t>Impressions</t>
  </si>
  <si>
    <t>Clicks</t>
  </si>
  <si>
    <t>CTR</t>
  </si>
  <si>
    <t>Spend(USD)</t>
  </si>
  <si>
    <t>CPC(USD)</t>
  </si>
  <si>
    <t>DPV</t>
  </si>
  <si>
    <t>Orders</t>
  </si>
  <si>
    <t>Sales(USD)</t>
  </si>
  <si>
    <t>ACOS</t>
  </si>
  <si>
    <t>ROAS</t>
  </si>
  <si>
    <t>NTB orders</t>
  </si>
  <si>
    <t>% of orders NTB</t>
  </si>
  <si>
    <t>NTB sales(USD)</t>
  </si>
  <si>
    <t>% of sales NTB</t>
  </si>
  <si>
    <t>Viewable impressions</t>
  </si>
  <si>
    <t>VCPM(USD)</t>
  </si>
  <si>
    <t>Video first quartile</t>
  </si>
  <si>
    <t>Video midpoint</t>
  </si>
  <si>
    <t>Video third quartile</t>
  </si>
  <si>
    <t>Video complete</t>
  </si>
  <si>
    <t>Video unmute</t>
  </si>
  <si>
    <t>VTR</t>
  </si>
  <si>
    <t>vCTR</t>
  </si>
  <si>
    <t>CPM(USD)</t>
  </si>
  <si>
    <t>ENABLED</t>
  </si>
  <si>
    <t>SP-A-Wooden Train Set with Figure of 8 Train Track-B0CCDYTT9K-HVT-GB</t>
  </si>
  <si>
    <t>CAMPAIGN_STATUS_ENABLED</t>
  </si>
  <si>
    <t>SP</t>
  </si>
  <si>
    <t>AUTOMATIC</t>
  </si>
  <si>
    <t>Fixed bids</t>
  </si>
  <si>
    <t>1/14/25</t>
  </si>
  <si>
    <t>&lt;5%</t>
  </si>
  <si>
    <t>CPC</t>
  </si>
  <si>
    <t>SP-A-Wooden Figures Counting Puzzle Toy-B0CCDYSG6S-HVT-GB</t>
  </si>
  <si>
    <t>SP-A-Tree Top Stacker-B00ZV08G0K-HVT-GB</t>
  </si>
  <si>
    <t>SP-A-Wooden Musical Xylophone-B0CCDZW9FR-HVT-GB</t>
  </si>
  <si>
    <t>SP-A-Wooden Toy Plane-B0CWBQSC23-HVT-GB</t>
  </si>
  <si>
    <t>CAMPAIGN_INCOMPLETE</t>
  </si>
  <si>
    <t>SP-A-Large Wooden Kitchen Furniture Set-B0CCF1RZ1M-HVT-GB</t>
  </si>
  <si>
    <t>SP-A-Xylophone Activity Tile-B085KM1DDD-HVT-GB</t>
  </si>
  <si>
    <t>SP-A-Wooden Space Rocket Duo Toy-B0CCF1JRWX-HVT-GB</t>
  </si>
  <si>
    <t>SP-A-Wooden Letters in a Bag Toy-B0CCDYRQ9R-HVT-GB</t>
  </si>
  <si>
    <t>SP-A-Wooden Rainbow Stacker-B0CCDZ4CGH-HVT-GB</t>
  </si>
  <si>
    <t>SP-A-Wooden Sunny Farm Stacker &amp; Bag-B0CCDYQBW7-HVT-GB</t>
  </si>
  <si>
    <t>SP-A-3 Storey Fire &amp; Rescue Garage Toy Car Play Set-B0CCDZ54S5-HVT-GB</t>
  </si>
  <si>
    <t>SP-A-Wooden Chopping Board and Super Food Set-B0CCDYPRKL-HVT-GB</t>
  </si>
  <si>
    <t>SP-A-Wooden Stand Alone Fridge Freezer Set-B0CCDZ11VB-HVT-GB</t>
  </si>
  <si>
    <t>SP-A-Blue Belle Wooden Doll House-B0CCDX1Z6Z-HVT-GB</t>
  </si>
  <si>
    <t>SBV-EX-tool box-PDP-Vid2-GB</t>
  </si>
  <si>
    <t>SB2</t>
  </si>
  <si>
    <t>MANUAL</t>
  </si>
  <si>
    <t>SBV-EX-popcorn machine-PDP-Vid2-GB</t>
  </si>
  <si>
    <t>SBV-EX-egg cup-PDP-Vid2-GB</t>
  </si>
  <si>
    <t>SBV-EX-bunny and guinea-PDP-Vid2-GB</t>
  </si>
  <si>
    <t>PAUSED</t>
  </si>
  <si>
    <t>SBV-PH-rainbow cloud pop-PDP-Vid2-GB</t>
  </si>
  <si>
    <t>CAMPAIGN_PAUSED</t>
  </si>
  <si>
    <t>SBV-EX-pizza-PDP-Vid2-GB</t>
  </si>
  <si>
    <t>SBV-EX-xylophone-PDP-Vid2-GB</t>
  </si>
  <si>
    <t>SBV-EX-star beauty bag-PDP-Vid2-GB</t>
  </si>
  <si>
    <t>SBV-EX-cafe machine-PDP-Vid2-GB</t>
  </si>
  <si>
    <t>SBV-EX-noah's balancing ark-PDP-Vid2-GB</t>
  </si>
  <si>
    <t>SBV-PH1-Ice Lollies Toy-GB</t>
  </si>
  <si>
    <t>SBV-EX-andes stacker-PDP-Vid2-GB</t>
  </si>
  <si>
    <t>SBV-EX-ice cream van-PDP-Vid2-GB</t>
  </si>
  <si>
    <t>SBV-BMM-Mayberry Manor-STR-GB</t>
  </si>
  <si>
    <t>SBV-Ex2-Doctors Set-Video2-PDP-STR-GB</t>
  </si>
  <si>
    <t>SBV-Ex1-Ocean Stacker-GB</t>
  </si>
  <si>
    <t>SBV-BMM-Camper Van-GB</t>
  </si>
  <si>
    <t>SP-M-PH1-Pet Set-B0037SSA0E-TEST-HVT-GB</t>
  </si>
  <si>
    <t>Dynamic bids - down only</t>
  </si>
  <si>
    <t>SP-A-Pet Set-B0037SSA0E-HVT-GB</t>
  </si>
  <si>
    <t>SP-PH1-London Bus-B004M5IN44-STR-NB-GB</t>
  </si>
  <si>
    <t>10/24/23</t>
  </si>
  <si>
    <t>London Bus</t>
  </si>
  <si>
    <t>SP-AT-Eco Cups Tea and Coffee-B08YK34KW9-HVT-NB-GB</t>
  </si>
  <si>
    <t>SP-BR1-Ice Lollies-B004K93KUO-HVT-GB</t>
  </si>
  <si>
    <t>SP-M-PH1-Andes Stacker-HVT-NB-GB</t>
  </si>
  <si>
    <t>SP-PT-Shop &amp; Cafe-Test-NB-GB</t>
  </si>
  <si>
    <t>10/13/23</t>
  </si>
  <si>
    <t>Shop &amp; Cafe</t>
  </si>
  <si>
    <t>SP-PT1-Forest Stacker-HVT-NB-GB</t>
  </si>
  <si>
    <t>Forest Stacker</t>
  </si>
  <si>
    <t>SP-PT-Forest Stacker-1-STR-HCV-NB-GB</t>
  </si>
  <si>
    <t>SP-Ex1-Sophie's House-B000ULHE08-Rank-NB-GB</t>
  </si>
  <si>
    <t>SB-MKW-Dollhouses-NB-GB</t>
  </si>
  <si>
    <t>SB-BrPh2-Dollhouses-B-GB</t>
  </si>
  <si>
    <t>SB-BrPh-Dollhouses-Boys&amp;Girls-GB</t>
  </si>
  <si>
    <t>Doll House</t>
  </si>
  <si>
    <t>SP-Ex1-Dotty Kettle-B00SLZNWEW-STR-HCV-NB-GB</t>
  </si>
  <si>
    <t>9/25/23</t>
  </si>
  <si>
    <t>SP-PT1-Ocean Stacker-B08YJBWVZ5-STR-HCV-NB-GB</t>
  </si>
  <si>
    <t>SP-Ex1-Ocean Stacker-B08YJBWVZ5-STR-NB-GB</t>
  </si>
  <si>
    <t>SP-BMM-Daisylane Master Bedroom-B000F9ZP06-HVT-GB</t>
  </si>
  <si>
    <t>SP-PH1-Honeybee-Meat-Crate-STR-NB-GB</t>
  </si>
  <si>
    <t>Dynamic bids - up and down</t>
  </si>
  <si>
    <t>Honeybee Market</t>
  </si>
  <si>
    <t>SP-BMM-Shop &amp; Cafe-HVT-NB-GB</t>
  </si>
  <si>
    <t>9/24/23</t>
  </si>
  <si>
    <t>SP-CT1-Toaster Set-B009K1OTK2-HVT-NB-GB</t>
  </si>
  <si>
    <t>9/23/23</t>
  </si>
  <si>
    <t>Toaster Set</t>
  </si>
  <si>
    <t>SP-CT1-Biscuit and Plate Set-B00DQQUIX4-HVT-NB-GB</t>
  </si>
  <si>
    <t>Biscuit and Plate Set</t>
  </si>
  <si>
    <t>SP-CT1-Cupcakes-B07Q38V7Q4-HVT-NB-GB</t>
  </si>
  <si>
    <t>Cupcakes</t>
  </si>
  <si>
    <t>SP-CT1-Pet Set-B0037SSA0E-HVT-NB-GB</t>
  </si>
  <si>
    <t>_Toy Food</t>
  </si>
  <si>
    <t>SP-CT1-Sophie's Car-B000TGI3TA-HVT-NB-GB</t>
  </si>
  <si>
    <t>Sophies Car</t>
  </si>
  <si>
    <t>SP-CT1-Star Beauty Bag-B00DIBI0QY-HVT-NB-GB</t>
  </si>
  <si>
    <t>Star Beauty Bag</t>
  </si>
  <si>
    <t>SP-CT1-London Bus-B004M5IN44-HVT-NB-GB</t>
  </si>
  <si>
    <t>SP-CT1-Eco Cups Tea and Coffee-B08YK34KW9-HVT-NB-GB</t>
  </si>
  <si>
    <t>SP-CT1-Table and Chairs-B08YK6LRDR-HVT-NB-GB</t>
  </si>
  <si>
    <t>SP-CT1-Egg Cup Set-B06WLK44DZ-HVT-NB-GB</t>
  </si>
  <si>
    <t>Egg Cup Set ChickyChick</t>
  </si>
  <si>
    <t>SP-CT1-Red Barn-B0013T3RKW-HVT-NB-GB</t>
  </si>
  <si>
    <t>_Play Kitchen</t>
  </si>
  <si>
    <t>SP-CT1-Vanity Table-B08YRLB25N-HVT-NB-GB</t>
  </si>
  <si>
    <t>Vanity Table</t>
  </si>
  <si>
    <t>SP-CT1-Honeybee Market -B00893HHY2-HVT-NB-GB</t>
  </si>
  <si>
    <t>SP-CT1-Oven and Hob Set PINK-B00IWCQ7Q4-HVT-NB-GB</t>
  </si>
  <si>
    <t>Oven and Hob Set PINK</t>
  </si>
  <si>
    <t>SP-CT1-Le Grand Garage-B001UHMTYW-HVT-NB-GB</t>
  </si>
  <si>
    <t>Le Grand Garage</t>
  </si>
  <si>
    <t>SP-CT1-Rainbow Cloud Walker-B07BKG2BMG-HVT-NB-GB</t>
  </si>
  <si>
    <t>Rainbow Cloud Walker</t>
  </si>
  <si>
    <t>SP-CT1-Outdoor Play Set-B007R0GXD4-HVT-NB-GB</t>
  </si>
  <si>
    <t>Outdoor Play Set</t>
  </si>
  <si>
    <t>SP-CT1-Tool Box-B07BKF9T8G-HVT-NB-GB</t>
  </si>
  <si>
    <t>Tool Box</t>
  </si>
  <si>
    <t>SP-CT1-Oxford Kitchen-B085B2D3PY-HVT-NB-GB</t>
  </si>
  <si>
    <t>Oxford Kitchen</t>
  </si>
  <si>
    <t>SP-CT1-Ice Cream Machine-B08YYXTNVL-HVT-NB-GB</t>
  </si>
  <si>
    <t>Ice Cream Machine</t>
  </si>
  <si>
    <t>SP-CT1-Sports Car Set-B003AQU2RW-HVT-NB-GB</t>
  </si>
  <si>
    <t>Montecarlo Sports Car Set</t>
  </si>
  <si>
    <t>SP-CT1-Gears &amp; Cogs-B01N29ZDOO-HVT-NB-GB</t>
  </si>
  <si>
    <t>Gears &amp; Cogs Busy Bee Learning</t>
  </si>
  <si>
    <t>SP-CT1-Create your own Pizza-B008EXKEAQ-HVT-NB-GB</t>
  </si>
  <si>
    <t>SP-CT1-My First Tool Bench-B00IWCQAUM-HVT-NB-GB</t>
  </si>
  <si>
    <t>My First Tool Bench</t>
  </si>
  <si>
    <t>SP-CT1-My Farmyard-B000EMPFI6-HVT-NB-GB</t>
  </si>
  <si>
    <t>SP-CT1-Cafe Machine-B00IWCQ5ZM-HVT-NB-GB</t>
  </si>
  <si>
    <t>Cafe Machine</t>
  </si>
  <si>
    <t>SP-CT1-Dining Set-B08YYVMXBZ-HVT-NB-GB</t>
  </si>
  <si>
    <t>Dinos Red Garage</t>
  </si>
  <si>
    <t>SP-CT1-Pots and Pans-B00IWCQ6PQ-HVT-NB-GB</t>
  </si>
  <si>
    <t>Pots and Pans</t>
  </si>
  <si>
    <t>SP-CT1-Building Blocks-B085B24QP1-HVT-NB-GB</t>
  </si>
  <si>
    <t>SP-CT1-Retro Metro Car Set-B01ADUAW4K-HVT-NB-GB</t>
  </si>
  <si>
    <t>Retro Metro Car Set</t>
  </si>
  <si>
    <t>SP-CT1-Fruits-B00893HOSG-HVT-NB-GB</t>
  </si>
  <si>
    <t>SP-CT1-Daisylane Kitchen-B0014QLTUY-HVT-NB-GB</t>
  </si>
  <si>
    <t>Daisylane</t>
  </si>
  <si>
    <t>SP-CT1-Alex's Work Bench-B07BKGSQGR-HVT-NB-GB</t>
  </si>
  <si>
    <t>Alexs Work Bench</t>
  </si>
  <si>
    <t>SP-CT1-Vegetables-B00893HHJ2-HVT-NB-GB</t>
  </si>
  <si>
    <t>SP-CT1-Farm Eggs -B085B2L6MH-HVT-NB-GB</t>
  </si>
  <si>
    <t>SP-CT1-Daisylane Children's Bedroom-B0014QP5WC-HVT-NB-GB</t>
  </si>
  <si>
    <t>SP-CT1-Hollywood Film Camera-B085GVDKH8-HVT-NB-GB</t>
  </si>
  <si>
    <t>Hollywood Film Camera</t>
  </si>
  <si>
    <t>SP-CT1-Ocean Stacker-B08YJBWVZ5-HVT-NB-GB</t>
  </si>
  <si>
    <t>Groceries Set &amp; Scanner</t>
  </si>
  <si>
    <t>SP-CT1-Daisylane Master Bedroom-B000F9ZP06-HVT-NB-GB</t>
  </si>
  <si>
    <t>Daisylane Master Bedroom</t>
  </si>
  <si>
    <t>SP-CT1-Puppet Theatre-B085FMPLVZ-HVT-NB-GB</t>
  </si>
  <si>
    <t>Showtime Puppet Theatre</t>
  </si>
  <si>
    <t>SP-CT1-Crate of Meat-B06W9H7DMM-HVT-NB-GB</t>
  </si>
  <si>
    <t>SP-CT1-Sophie's House-B000ULHE08-HVT-NB-GB</t>
  </si>
  <si>
    <t>SP-CT1-Mayberry Manor-B000VD9XBS-HVT-NB-GB</t>
  </si>
  <si>
    <t>Mayberry Manor</t>
  </si>
  <si>
    <t>SP-CT1-Noah's Great Ark-B000RPOCB6-HVT-NB-GB</t>
  </si>
  <si>
    <t>Noah's Great Ark</t>
  </si>
  <si>
    <t>SP-CT1-Shopping Trolley-B06X3TGG6T-HVT-NB-GB</t>
  </si>
  <si>
    <t>Shopping Trolley</t>
  </si>
  <si>
    <t>SP-CT1-Sky Doll House-B08YF8HJNK-HVT-NB-GB</t>
  </si>
  <si>
    <t>SP-CT1-Shop &amp; Cafe-B06WV9FHM8-HVT-NB-GB</t>
  </si>
  <si>
    <t>SP-CT1-Cherry Tree Hall-B004M5IN4O-HVT-NB-GB</t>
  </si>
  <si>
    <t>SP-CT1-Forest Stacker-B01AC914YO-HVT-NB-GB</t>
  </si>
  <si>
    <t>SP-CT1-Honeybee Market-Apples and Pears-B085H1BFTX-NB-GB</t>
  </si>
  <si>
    <t>9/18/23</t>
  </si>
  <si>
    <t>SP-BMM-Honeybee Market Fruits Five a Day -B00893HOSG-HVT-GB</t>
  </si>
  <si>
    <t>SP-CT-London Car Set-B001579CME-HVT-GB</t>
  </si>
  <si>
    <t>SP-BMM-London Car Set-HVT-GB</t>
  </si>
  <si>
    <t>SP-PT1-Honeybee Market Vegetables-B00893HHJ2-GB</t>
  </si>
  <si>
    <t>SP-CT1-Honeybee-Market Fish-B0088LOWKC-HVT-GB</t>
  </si>
  <si>
    <t>SP-CT1-Dotty Kettle-B00SLZNWEW-NB-GB</t>
  </si>
  <si>
    <t>SP-PT1-Dotty Kettle-B00SLZNWEW-HCV-NB-GB</t>
  </si>
  <si>
    <t>Dotty Kettle</t>
  </si>
  <si>
    <t>SP-M-EX-Honeybee Farm Eggs-B085B2L6MH-STR-HCV-NB-GB</t>
  </si>
  <si>
    <t>SP-M-EX-Dotty Kettle-B00SLZNWEW-STR-HCV-NB-GB</t>
  </si>
  <si>
    <t>SP-M-EX-Retro Metro Car Set-B01ADUAW4K-STR-HCV-NB-GB</t>
  </si>
  <si>
    <t>SP-M-EX-London Car Set-B001579CME-STR-HCV-NB-GB</t>
  </si>
  <si>
    <t>SP-M(BrPh)-Mayberry Manor Doll house-B000VD9XBS</t>
  </si>
  <si>
    <t>SP-Ex1-Ice Cream Trolley-B07RSFJ67Z-STR-NB-GB</t>
  </si>
  <si>
    <t>Ice Cream Trolley</t>
  </si>
  <si>
    <t>SP-CT1-Ice Cream Trolley-B07RSFJ67Z-HVT-LBid-GB</t>
  </si>
  <si>
    <t>SB-BMM-Wooden Food Toys-Slides-NB-GB</t>
  </si>
  <si>
    <t>SP-Cross-Promo-Honeybee Market-Playfood-GB</t>
  </si>
  <si>
    <t>9/15/23</t>
  </si>
  <si>
    <t>SP-PT1-Honeybee Market-B00893HOFE-STR-HCV-NB-GB</t>
  </si>
  <si>
    <t>SP-M-EX2-Honeybee Market-B00893HOFE-STR-HCV-NB-GB</t>
  </si>
  <si>
    <t>SP-M-EX1-Honeybee Market-B00893HOFE-STR-HCV-NB-GB</t>
  </si>
  <si>
    <t>SP-M-EX-Shop &amp; Cafe-B06WV9FHM8-STR-HCV-NB-GB</t>
  </si>
  <si>
    <t>SP-BR1-Sky Doll House-B08YF8HJNK-HVT-NB-GB</t>
  </si>
  <si>
    <t>SP-M-EX-Doctors Set-B00IWCQ5K2-STR-HCV-NB-GB</t>
  </si>
  <si>
    <t>SP-PT1-Doctors Set-B00IWCQ5K2-PDP-STR-NB-GB</t>
  </si>
  <si>
    <t>SD-PT1-Honeybee Market-STR-B00893HOFE-NB-GB</t>
  </si>
  <si>
    <t>SD</t>
  </si>
  <si>
    <t>SBV-Ex1-Cherry Tree Hall-B004M5IN4O-PDP-STR-HCV-NB-GB</t>
  </si>
  <si>
    <t>SBV-CT1-Doctors Set-B00IWCQ5K2-PDP-NB-GB</t>
  </si>
  <si>
    <t>SBV-Ex1-Forest Stacker-B01AC914YO-STR-HCV-NB-GB</t>
  </si>
  <si>
    <t>SP-M-EX5-Forest Stacker-B01AC914YO-STR-HCV-NB-GB</t>
  </si>
  <si>
    <t>9/14/23</t>
  </si>
  <si>
    <t>SP-EX1-Honeybee Market Cheese &amp; Dairy-B00893HOFE-HCV-NB-GB</t>
  </si>
  <si>
    <t>SP-M-Ex1-Barbarossa Pirate Ship-STR-HCV-NB-GB</t>
  </si>
  <si>
    <t>8/28/23</t>
  </si>
  <si>
    <t>Barborossa Pirate Ship</t>
  </si>
  <si>
    <t>SP-Ex1-Ride on Deer-B07BKGFWZZ-STR-HCV-NB-GB</t>
  </si>
  <si>
    <t>Ride on Deer</t>
  </si>
  <si>
    <t>SD-VRMKT-Similar-Ocean Stacker-B08YJBWVZ5-GB</t>
  </si>
  <si>
    <t>8/27/23</t>
  </si>
  <si>
    <t>SD-VRMKT-Similar-Ice Lollies-B004K93KUO-GB</t>
  </si>
  <si>
    <t>SD-VRMKT-Similar-Ice cream Trolley-B07RSFJ67Z-GB</t>
  </si>
  <si>
    <t>SD-VRMKT-Similar-Café Stall-B06WV9FHM8-GB</t>
  </si>
  <si>
    <t>SD-VRMKT-Similar-Andes Stacker-B07QL26FH7-GB</t>
  </si>
  <si>
    <t>SD-VRMKT-Similar-Cherry Dollhouse-B004M5IN4O-GB</t>
  </si>
  <si>
    <t>SD-VRMKT-Similar-London Toy Cars-B001579CME-GB</t>
  </si>
  <si>
    <t>SD-VRMKT-Similar-Supermarket Playset-B00893HHY2-GB</t>
  </si>
  <si>
    <t>SD-VRMKT-Similar-Puppet Theatre-B085FMPLVZ-GB</t>
  </si>
  <si>
    <t>SD-VRMKT-Similar-Farmyard Playset-B000EMPFI6-GB</t>
  </si>
  <si>
    <t>SD-VRMKT-Similar-Tea &amp; Treats Trolley-B07RN7Z5B8-GB</t>
  </si>
  <si>
    <t>SD-VRMKT-Similar-Groceries Playset-B07Q5C3F3C-GB</t>
  </si>
  <si>
    <t>SD-VRMKT-Similar-Excalibur Castle-B00061MK4C-GB</t>
  </si>
  <si>
    <t>SD-VRMKT-Similar-Rainbow Walker-B07BKG2BMG-GB</t>
  </si>
  <si>
    <t>SD-VRMKT-Similar-Forest Stacker-B01AC914YO-GB</t>
  </si>
  <si>
    <t>SD-VRMKT-Similar-Doctor's Kit-B00IWCQ5K2-GB</t>
  </si>
  <si>
    <t>SD-VRMKT-Similar-Sweetheart Dollhouse-B000GHOII2-GB</t>
  </si>
  <si>
    <t>SD-VRMKT-Similar-Pirate Ship-B000B7TG9S-GB</t>
  </si>
  <si>
    <t>SD-VRMKT-Similar-Starter Furniture Set-B000FUU1I6-GB</t>
  </si>
  <si>
    <t>SP-M-BR1-Cafe Machine-B00IWCQ5ZM-HVT-NB-GB</t>
  </si>
  <si>
    <t>8/22/23</t>
  </si>
  <si>
    <t>SP-M-BR2-Cafe Machine-B00IWCQ5ZM-HVT-NB-GB</t>
  </si>
  <si>
    <t>SP-M-BR2-ABC Wooden Blocks-B07BHCLMQY-BMM-HVT-GB</t>
  </si>
  <si>
    <t>SP-M-BR1-Blender Set Fruit &amp; Smooth-B00DQQR1CA-HVT-NB-GB</t>
  </si>
  <si>
    <t>SP-M-BR2-Blender Set Fruit &amp; Smooth-B00DQQR1CA-HVT-NB-GB</t>
  </si>
  <si>
    <t>SP-M-BR2-Honeybee Market Fresh Fish-B0088LOWKC-HVT-NB-GB</t>
  </si>
  <si>
    <t>SP-M-BR1-ABC Wooden Blocks-B07BHCLMQY-BMM-HVT-GB</t>
  </si>
  <si>
    <t>SP-M-BR1-Honeybee Market Fresh Fish-B0088LOWKC-HVT-NB-GB</t>
  </si>
  <si>
    <t>SD-CT1-Doctors Set-Offensive-NB-GB</t>
  </si>
  <si>
    <t>8/18/23</t>
  </si>
  <si>
    <t>SB-Store-Spotlight-Wooden Toys-Genreic-BR-NB-GB</t>
  </si>
  <si>
    <t>8/17/23</t>
  </si>
  <si>
    <t>SB-BR1-Shop &amp; Cafe-PDP-NB-GB</t>
  </si>
  <si>
    <t>8/15/23</t>
  </si>
  <si>
    <t>SBV-Ex1-Doctors Set-PDP-STR-NB-GB</t>
  </si>
  <si>
    <t>Doctors Set</t>
  </si>
  <si>
    <t>SP-M-PH1-Rainbow Cloud Pop-B07QMZJ8L8-HVT-GB</t>
  </si>
  <si>
    <t>SP-M-PH1-My Farmyard-B000EMPFI6-HVT-GB</t>
  </si>
  <si>
    <t>SP-M-PH2-My Farmyard-B000EMPFI6-HVT-GB</t>
  </si>
  <si>
    <t>SP-M-PH2-Rainbow Cloud Pop-B07QMZJ8L8-HVT-GB</t>
  </si>
  <si>
    <t>SP-M-BR1-Hollywood Film Camera-B085GVDKH8-BMM-HVT-GB</t>
  </si>
  <si>
    <t>SP-M-PH2-Daisylane Drawing Room-B0014QMRJQ-HVT-GB</t>
  </si>
  <si>
    <t>SP-M-PH1-Daisylane Childrens Bedroom-B0014QP5WC-HVT-GB</t>
  </si>
  <si>
    <t>SP-M-PH2-Alexs Work Bench-B07BKGSQGR-HVT-GB</t>
  </si>
  <si>
    <t>SP-M-PH1-Daisylane Drawing Room-B0014QMRJQ-HVT-GB</t>
  </si>
  <si>
    <t>SP-M-PH2-Cafe Machine-B00IWCQ5ZM-HVT-GB</t>
  </si>
  <si>
    <t>SP-M-PH2-Daisylane Childrens Bedroom-B0014QP5WC-HVT-GB</t>
  </si>
  <si>
    <t>SP-M-PH1-Dotty Kettle-B00SLZNWEW-HVT-GB</t>
  </si>
  <si>
    <t>SP-M-PH1-Alexs Work Bench-B07BKGSQGR-HVT-GB</t>
  </si>
  <si>
    <t>SP-M-PH1-Cafe Machine-B00IWCQ5ZM-HVT-GB</t>
  </si>
  <si>
    <t>SP-M-PH2-Dotty Kettle-B00SLZNWEW-HVT-GB</t>
  </si>
  <si>
    <t>SP-M-PH2-Honeybee Market Fresh Fish-B0088LOWKC-HVT-GB</t>
  </si>
  <si>
    <t>SP-M-PH1-Honeybee Market Fresh Fish-B0088LOWKC-HVT-GB</t>
  </si>
  <si>
    <t>SP-A-Twilight TrainBlue -B0897YYTVG-HVT-GB</t>
  </si>
  <si>
    <t>SP-A-Binoculars-B07QM1QT9V-HVT-GB</t>
  </si>
  <si>
    <t>SP-A-My Little Bird House Shape Sorter-B01AC8V832-HVT-GB</t>
  </si>
  <si>
    <t>SP-A-London Bus -B004M5IN44-HVT-GB</t>
  </si>
  <si>
    <t>SP-A-Red Tractor  -B0037SZJ12-HVT-GB</t>
  </si>
  <si>
    <t>SP-A-Camper Van-B07BKFV6D3-HVT-GB</t>
  </si>
  <si>
    <t>SP-A-Pet Set -B0037SSA0E-HVT-GB</t>
  </si>
  <si>
    <t>SP-A-Stacking Veggies-B002A7WD9C-HVT-GB</t>
  </si>
  <si>
    <t>SP-A-Fairybelle Palace -B00DSUFVSU-HVT-GB</t>
  </si>
  <si>
    <t>SP-A-Dinos Red Garage -B00DQRSOPC-HVT-GB</t>
  </si>
  <si>
    <t>SP-A-Star Beauty Bag -B00DIBI0QY-HVT-GB</t>
  </si>
  <si>
    <t>SP-A-Dolly Ice Cream Van-B07Q38T756-HVT-GB</t>
  </si>
  <si>
    <t>SP-A-Sophies Car -B000TGI3TA-HVT-GB</t>
  </si>
  <si>
    <t>SP-A-Rocking Horse-B08YJQVFBX-HVT-GB</t>
  </si>
  <si>
    <t>SP-A-Emergency Vehicles Set-B004NG91VG-HVT-GB</t>
  </si>
  <si>
    <t>SP-A-Hammer Game Mr Mushrooms -B01AC993BA-HVT-GB</t>
  </si>
  <si>
    <t>SP-A-Sleigh Cot Bed-B07RSFJ686-HVT-GB</t>
  </si>
  <si>
    <t>SP-A-Noahs Shape Sorter  -B003JKJ82Y-HVT-GB</t>
  </si>
  <si>
    <t>SP-A-Ice Cream Set-B07Q7LQ58K-HVT-GB</t>
  </si>
  <si>
    <t>SP-A-Wooden Beads-B07RTLLLWJ-HVT-GB</t>
  </si>
  <si>
    <t>SP-A-Toaster Set -B009K1OTK2-HVT-GB</t>
  </si>
  <si>
    <t>SP-A-Sensory Shapes -B01AC94R1G-HVT-GB</t>
  </si>
  <si>
    <t>SP-A-Rainbow Tunnel Toy-B07BKGRS41-HVT-GB</t>
  </si>
  <si>
    <t>SP-A-Noahs Balancing Ark-B01ADTYNTQ-HVT-GB</t>
  </si>
  <si>
    <t>SP-A-London Train Set -B08ZDL4NCL-HVT-GB</t>
  </si>
  <si>
    <t>SP-A-Rocking Unicorn Carousel-B07QP3J65J-HVT-GB</t>
  </si>
  <si>
    <t>SP-A-Petit Activity Cube-B07BKFNSRK-HVT-GB</t>
  </si>
  <si>
    <t>SP-A-My First Castle Red-B000G1CG9Q-HVT-GB</t>
  </si>
  <si>
    <t>SP-A-Chocolate Gateau   -B004M5IN6W-HVT-GB</t>
  </si>
  <si>
    <t>SP-A-Great Green TrainGreen-B0897YYPTC-HVT-GB</t>
  </si>
  <si>
    <t>SP-A-Pirate SetBudkins Gift Pack-B004XBMP1E-HVT-GB</t>
  </si>
  <si>
    <t>SP-A-Royal Express TrainRed -B088ZBLFG6-HVT-GB</t>
  </si>
  <si>
    <t>SP-A-Bay Tree House-B000FUU1L8-HVT-GB</t>
  </si>
  <si>
    <t>SP-A-Strawberry Wedding Cake-B07QW2STRZ-HVT-GB</t>
  </si>
  <si>
    <t>SP-A-Doughnuts-B07Q6GTQ92-HVT-GB</t>
  </si>
  <si>
    <t>SP-A-Cupcakes-B07Q38V7Q4-HVT-GB</t>
  </si>
  <si>
    <t>SP-A-Weighing Scale -B00893HJ68-HVT-GB</t>
  </si>
  <si>
    <t>SP-A-Biscuit and Plate Set -B00DQQUIX4-HVT-GB</t>
  </si>
  <si>
    <t>SP-A-Royal Express Train Set-B0861V4B5B-HVT-GB</t>
  </si>
  <si>
    <t>SP-A-Macarons-B07QX1RBJV-HVT-GB</t>
  </si>
  <si>
    <t>SP-A-Nursery Set-B0037SS23O-HVT-GB</t>
  </si>
  <si>
    <t>SP-A-My Stacking Garden -B01AAXE1NI-HVT-GB</t>
  </si>
  <si>
    <t>SP-A-Party Camera-B07QL25FVR-HVT-GB</t>
  </si>
  <si>
    <t>SP-A-Pram PINK -B07BKGFG2N-HVT-GB</t>
  </si>
  <si>
    <t>SP-A-Oven and Hob Set PINK -B00IWCQ7Q4-HVT-GB</t>
  </si>
  <si>
    <t>SP-A-Gears &amp; Cogs Busy Bee Learning -B01N29ZDOO-HVT-GB</t>
  </si>
  <si>
    <t>SP-A-Race Car transporter Set-B01ADU51DM-HVT-GB</t>
  </si>
  <si>
    <t>SP-A-My First Tool Bench -B00IWCQAUM-HVT-GB</t>
  </si>
  <si>
    <t>SP-A-Bunny &amp; Guinea Pig -B000FUU1IG-HVT-GB</t>
  </si>
  <si>
    <t>SP-A-Cake Stand Set  -B004M5IN76-HVT-GB</t>
  </si>
  <si>
    <t>SP-A-Red Barn-B0013T3RKW-HVT-GB</t>
  </si>
  <si>
    <t>SP-A-Rainbow Cloud Pop-B07QMZJ8L8-HVT-GB</t>
  </si>
  <si>
    <t>SP-A-Rainbow Cloud Walker-B07BKG2BMG-HVT-GB</t>
  </si>
  <si>
    <t>SP-A-Mixer Set  -B007SO2OBY-HVT-GB</t>
  </si>
  <si>
    <t>SP-A-Cash Register-B00DI7T71A-HVT-GB</t>
  </si>
  <si>
    <t>SP-A-Counting Book-B07QMZJ8KB-HVT-GB</t>
  </si>
  <si>
    <t>SP-A-Construction Set -B004K0YOWQ-HVT-GB</t>
  </si>
  <si>
    <t>SP-A-Oven and Hob Set BLUE-B00154QZOA-HVT-GB</t>
  </si>
  <si>
    <t>SP-A-Outdoor Play Set-B007R0GXD4-HVT-GB</t>
  </si>
  <si>
    <t>SP-A-Fire Engine Set-B001UHMTVU-HVT-GB</t>
  </si>
  <si>
    <t>SP-A-Vanity Table -B08YRLB25N-HVT-GB</t>
  </si>
  <si>
    <t>SP-A-Tool Box-B07BKF9T8G-HVT-GB</t>
  </si>
  <si>
    <t>SP-A-Le Grand Garage -B001UHMTYW-HVT-GB</t>
  </si>
  <si>
    <t>SP-A-ABC Wooden Blocks -B07BHCLMQY-HVT-GB</t>
  </si>
  <si>
    <t>SP-A-My Farmyard-B000EMPFI6-HVT-GB</t>
  </si>
  <si>
    <t>SP-A-Montecarlo Sports Car Set -B003AQU2RW-HVT-GB</t>
  </si>
  <si>
    <t>SP-A-Egg Cup Set ChickyChick -B06WLK44DZ-HVT-GB</t>
  </si>
  <si>
    <t>SP-A-Blender Set Fruit &amp; Smooth-B00DQQR1CA-HVT-GB</t>
  </si>
  <si>
    <t>SP-A-Oxford Kitchen-B085B2D3PY-HVT-GB</t>
  </si>
  <si>
    <t>SP-A-Ice Cream Machine-B08YYXTNVL-HVT-GB</t>
  </si>
  <si>
    <t>SP-A-Create your own Pizza  -B008EXKEAQ-HVT-GB</t>
  </si>
  <si>
    <t>SP-A-Lion Heart Castle-B004FTZRO6-HVT-GB</t>
  </si>
  <si>
    <t>SP-A-Activity Walker -B07QL24ZZX-HVT-GB</t>
  </si>
  <si>
    <t>SP-A-Carlos Gelato -B00SLZNXKA-HVT-GB</t>
  </si>
  <si>
    <t>SP-A-Honeybee Market Fresh Fish-B0088LOWKC-HVT-GB</t>
  </si>
  <si>
    <t>SP-A-Building Blocks &amp; Bag-B085B24QP1-HVT-GB</t>
  </si>
  <si>
    <t>SP-A-Alexs Work Bench  -B07BKGSQGR-HVT-GB</t>
  </si>
  <si>
    <t>SP-A-Groceries Set &amp; Scanner-B07Q5C3F3C-HVT-GB</t>
  </si>
  <si>
    <t>SP-A-The New York Car Set -B00157ERFG-HVT-GB</t>
  </si>
  <si>
    <t>SP-A-Cafe Machine  -B00IWCQ5ZM-HVT-GB</t>
  </si>
  <si>
    <t>SP-A-Honeybee Market Farm Eggs-B085B2L6MH-HVT-GB</t>
  </si>
  <si>
    <t>SP-A-Honeybee Market Fruits Five a Day -B00893HOSG-HVT-GB</t>
  </si>
  <si>
    <t>SP-A-Popcorn Machine-B07BKGSQGH-HVT-GB</t>
  </si>
  <si>
    <t>SP-A-Honeybee Market Vegetables-B00893HHJ2-HVT-GB</t>
  </si>
  <si>
    <t>SP-A-My Family of 4 -B002DP39IU-HVT-GB</t>
  </si>
  <si>
    <t>SP-A-Daisylane Childrens Bedroom-B0014QP5WC-HVT-GB</t>
  </si>
  <si>
    <t>SP-A-Excalibur Castle Blue-B00061MK4C-HVT-GB</t>
  </si>
  <si>
    <t>SP-A-Honeybee Market-Apples and Pears-B085H1BFTX-HVT-GB</t>
  </si>
  <si>
    <t>SP-A-Hollywood Film Camera-B085GVDKH8-HVT-GB</t>
  </si>
  <si>
    <t>SP-A-Pots and Pans-B00IWCQ6PQ-HVT-GB</t>
  </si>
  <si>
    <t>SP-A-Dining Set  -B08YYVMXBZ-HVT-GB</t>
  </si>
  <si>
    <t>SP-A-Retro Metro Car Set-B01ADUAW4K-HVT-GB</t>
  </si>
  <si>
    <t>SP-A-Daisylane Drawing Room-B0014QMRJQ-HVT-GB</t>
  </si>
  <si>
    <t>SP-A-Dotty Kettle -B00SLZNWEW-HVT-GB</t>
  </si>
  <si>
    <t>SP-A-Honeybee MarketBakers Basket -B00893HIFU-HVT-GB</t>
  </si>
  <si>
    <t>SP-M-PH1-Honeybee Market-Test-HVT-NB-GB</t>
  </si>
  <si>
    <t>7/14/23</t>
  </si>
  <si>
    <t>SP-M-PH2-Honeybee Market-Test-HVT-NB-GB</t>
  </si>
  <si>
    <t>SP-M-PH2-Shopping Trolley-Test-HVT-NB-GB</t>
  </si>
  <si>
    <t>SP-M-PH1-Shopping Trolley-Test-HVT-NB-GB</t>
  </si>
  <si>
    <t>SP-M-PH3-Shopping Trolley-Test-HVT-NB-GB</t>
  </si>
  <si>
    <t>SP-M-PH4-Shopping Trolley-Test-HVT-NB-GB</t>
  </si>
  <si>
    <t>SP-M-PH1-Tea Trolley-Test-NB-GB</t>
  </si>
  <si>
    <t>Tea &amp; Treats Trolley</t>
  </si>
  <si>
    <t>SP-M-PH2-Tea Trolley-Test-NB-GB</t>
  </si>
  <si>
    <t>SD-VRMKT-All-GB</t>
  </si>
  <si>
    <t>SP-M-PH1-Doll House Cherry Tree-HVT-NB-GB</t>
  </si>
  <si>
    <t>SP-M-EX1-Doll House Cherry Tree-Test-NB-GB</t>
  </si>
  <si>
    <t>SP-M-EX3-Doctors Set-Test-NB-GB</t>
  </si>
  <si>
    <t>SP-M-EX4-Doctors Set-Test-NB-GB</t>
  </si>
  <si>
    <t>SP-M-EX2-Doctors Set-Test-NB-GB</t>
  </si>
  <si>
    <t>SP-M-EX1-Doctors Set-Test-NB-GB</t>
  </si>
  <si>
    <t>SP-M-EX2-Doll House-Test-NB-GB</t>
  </si>
  <si>
    <t>SP-M-EX1-Doll House-Test-NB-GB</t>
  </si>
  <si>
    <t>SP-EX-Doll Houses-LowerPriced-GB</t>
  </si>
  <si>
    <t>SP-CT-Girls Role Play Group-Performance-HVT-GB</t>
  </si>
  <si>
    <t>6/30/23</t>
  </si>
  <si>
    <t>SP-BMM-Doll House Wooden-Harvesting-GB</t>
  </si>
  <si>
    <t>6/26/23</t>
  </si>
  <si>
    <t>SP-M-PH4-Forest Stacker-Harvesting-NB-GB</t>
  </si>
  <si>
    <t>SP-M-PH3-Forest Stacker-Harvesting-NB-GB</t>
  </si>
  <si>
    <t>SP-M-PH1-Forest Stacker-Harvesting-NB-GB</t>
  </si>
  <si>
    <t>SP-M-PH2-Forest Stacker-Harvesting-NB-GB</t>
  </si>
  <si>
    <t>SP-M-EX4-Forest Stacker-NB-GB</t>
  </si>
  <si>
    <t>SP-M-EX1-Forest Stacker-NB-GB</t>
  </si>
  <si>
    <t>SP-M-EX2-Forest Stacker-NB-GB</t>
  </si>
  <si>
    <t>SP-M-EX3-Forest Stacker-NB-GB</t>
  </si>
  <si>
    <t>SP-A-Honeybee Market-Meat-Crate-HVT-GB</t>
  </si>
  <si>
    <t>SP-A-Sky Doll House-Harvesting-GB</t>
  </si>
  <si>
    <t>SP-A-Showtime Puppet Theatre-Harvesting-GB</t>
  </si>
  <si>
    <t>SP-A-Ice Cream Trolley-Harvesting-GB</t>
  </si>
  <si>
    <t>SP-A-Sophie's House-Harvesting-GB</t>
  </si>
  <si>
    <t>Sophie's House</t>
  </si>
  <si>
    <t>SP-A-Daisylane Master Bedroom-Harvesting-GB</t>
  </si>
  <si>
    <t>SP-A-Barbarossa Pirate Ship-Harvesting-GB</t>
  </si>
  <si>
    <t>SP-A-Cherry Tree Hall-Harvesting-GB</t>
  </si>
  <si>
    <t>SP-A-Palace House-Harvesting-GB</t>
  </si>
  <si>
    <t>SP-A-Honeybee Market Cheese &amp; Dairy-Harvesting-GB</t>
  </si>
  <si>
    <t>SP-A-Ride on Deer-B07BKGFWZZ-HVT-GB</t>
  </si>
  <si>
    <t>SP-A-Ocean Stacker with Bag-HVT-GB</t>
  </si>
  <si>
    <t>Ocean Stacker</t>
  </si>
  <si>
    <t>SP-A-Tea &amp; Treats Trolley-Harvesting-GB</t>
  </si>
  <si>
    <t>SP-A-Shopping Trolley w/ bag-Harvesting-GB</t>
  </si>
  <si>
    <t>SP-A-Forest Stacker &amp; Bag-Harvesting-GB</t>
  </si>
  <si>
    <t>SP-A-Mayberry Manor-Harvesting-GB</t>
  </si>
  <si>
    <t>SP-A-Noah's Great Ark-HVT-NB-GB</t>
  </si>
  <si>
    <t>SP-A-Daisylane Sitting Room-Harvesting-GB</t>
  </si>
  <si>
    <t>Daisylane Sitting Room</t>
  </si>
  <si>
    <t>SP-A-Doctors Set-HVT-NB-GB</t>
  </si>
  <si>
    <t>SD-CPC-Def-Cross-Promo-All-GB</t>
  </si>
  <si>
    <t>6/23/23</t>
  </si>
  <si>
    <t>SP-M-Toys-Traffic-Generic-Toys KWs-LowBid-GB</t>
  </si>
  <si>
    <t>6/22/23</t>
  </si>
  <si>
    <t>SP-A-Shop &amp; Café-Harvesting-GB</t>
  </si>
  <si>
    <t>SP-A-London Car Set-Harvesting-GB</t>
  </si>
  <si>
    <t>MR-SD-VCPM-Defensive-Dolls House</t>
  </si>
  <si>
    <t>10/18/22</t>
  </si>
  <si>
    <t>VCPM</t>
  </si>
  <si>
    <t>SP-A-Catch All-LowBid-GB</t>
  </si>
  <si>
    <t>4/16/22</t>
  </si>
  <si>
    <t>MR- SD- PCT VCPM- 1</t>
  </si>
  <si>
    <t>MR- SD- VCPM Defensive- 1</t>
  </si>
  <si>
    <t>SP-PT_EX-Def-Cross-Promo-GB</t>
  </si>
  <si>
    <t>2/16/22</t>
  </si>
  <si>
    <t>MR- SP-  AK- Farm- 1</t>
  </si>
  <si>
    <t>MR- SP- MK- Royal Train- 1</t>
  </si>
  <si>
    <t>11/25/21</t>
  </si>
  <si>
    <t>MR- SB- MK- Video- Doctor Set -1(1)</t>
  </si>
  <si>
    <t>SBV</t>
  </si>
  <si>
    <t>MR- SB- MK- Video- Forest Stacker -1(1)</t>
  </si>
  <si>
    <t>MR- SD- AT- Forest Stacker -1</t>
  </si>
  <si>
    <t>MR- SD- AT- Doctors -1</t>
  </si>
  <si>
    <t>MR- SD- AT- Doll High Chair -1</t>
  </si>
  <si>
    <t>Mr- SD- AT- Cash Reg- 1</t>
  </si>
  <si>
    <t>Campaign - 11/6/2021 13:23:52</t>
  </si>
  <si>
    <t>SB-MKW-Girls Role Play Products-B-GB</t>
  </si>
  <si>
    <t>SB</t>
  </si>
  <si>
    <t>10/29/21</t>
  </si>
  <si>
    <t>MR- MK- SB- Video- Dolls House- 1</t>
  </si>
  <si>
    <t>MR- SP- AK- Dolls House Accessories- 1</t>
  </si>
  <si>
    <t>MR- SP- AK- Dolls House - 1</t>
  </si>
  <si>
    <t>SP-AT-Girls Role Play Group-HVT-GB</t>
  </si>
  <si>
    <t>SP-A-Andes Stacker-B07QL26FH7-HVT-GB</t>
  </si>
  <si>
    <t>MR - SP- AK - Early Years - 1</t>
  </si>
  <si>
    <t>MR - SP- AK - Boys Construction - 1</t>
  </si>
  <si>
    <t>MR - SP- AK - Cars and Transport - 1</t>
  </si>
  <si>
    <t>MR- SP- AK- Animals- 1</t>
  </si>
  <si>
    <t>MR- SP- AK- Kids Toys- 1</t>
  </si>
  <si>
    <t>MR- SP- MK- Early Years - 1</t>
  </si>
  <si>
    <t>MR- SP- MK- Building/ Stacking - 1</t>
  </si>
  <si>
    <t>SP-MKW-Dolls House-Gen-Branded-GB</t>
  </si>
  <si>
    <t>MR- SP- MK- Boys Construction - 1</t>
  </si>
  <si>
    <t>MR- SP- MK- Cars &amp; Transport - 1</t>
  </si>
  <si>
    <t>MR- SP- MK- Animals - 1</t>
  </si>
  <si>
    <t>MR- SP- MK- Girls Role Play - 1</t>
  </si>
  <si>
    <t>MR- SP- MK- Dolls House Accessories - 1</t>
  </si>
  <si>
    <t>MR- SP- MK- Kids Toys - 1</t>
  </si>
  <si>
    <t>MR- SP - CPT - Early Years - 1</t>
  </si>
  <si>
    <t>MR- SP - CPT - Building/Stacking - 1</t>
  </si>
  <si>
    <t>MR- SP - CPT - Dolls House - 1</t>
  </si>
  <si>
    <t>MR- SP - CPT - Boys Construction - 1</t>
  </si>
  <si>
    <t>MR- SP - CPT - Cars &amp; Transport - 1</t>
  </si>
  <si>
    <t>MR- SP - CPT - Animals - 1</t>
  </si>
  <si>
    <t>SP-PT1-Gen-Girls Role Play-CatchAll-GB</t>
  </si>
  <si>
    <t>SP-CT-Dolls House Accessories - 1</t>
  </si>
  <si>
    <t>MR- SP - CPT - Kids Toys - 1</t>
  </si>
  <si>
    <t>MR - SP - AK - Doctors - 1</t>
  </si>
  <si>
    <t>7/13/21</t>
  </si>
  <si>
    <t>SP_KW_PD21_AO 06-14-2021 66b9</t>
  </si>
  <si>
    <t>6/14/21</t>
  </si>
  <si>
    <t>6/26/21</t>
  </si>
  <si>
    <t>MR - Cook - Play Oven - M - 1</t>
  </si>
  <si>
    <t>MR 1:1</t>
  </si>
  <si>
    <t>MR - Phone - M - 1</t>
  </si>
  <si>
    <t>1/18/21</t>
  </si>
  <si>
    <t>MR - Train - Brio - Competitor</t>
  </si>
  <si>
    <t>11/24/20</t>
  </si>
  <si>
    <t>MR Video &amp; Competitors focus</t>
  </si>
  <si>
    <t>MR - Train - Bigjigs Rail - Competitor</t>
  </si>
  <si>
    <t>MR -  SP- MK- Tender Leaf - Competitor</t>
  </si>
  <si>
    <t>11/16/20</t>
  </si>
  <si>
    <t>MR - Sophie House - Video</t>
  </si>
  <si>
    <t>SBV-Honeybake Ice Lollies-PDP-NB-GB</t>
  </si>
  <si>
    <t>MR - London Car Set Video - 1</t>
  </si>
  <si>
    <t>SP-M-Mixed-Sophies House</t>
  </si>
  <si>
    <t>MR - Tea &amp; Treats - M - 1</t>
  </si>
  <si>
    <t>MR - B06WV9FHM8 Shop &amp; Cafe - M - 1</t>
  </si>
  <si>
    <t>MR - Cottage - M - 1</t>
  </si>
  <si>
    <t>MR - Doll House - Furniture - Starter Set - M - 1</t>
  </si>
  <si>
    <t>10/30/20</t>
  </si>
  <si>
    <t>MR - Doctor - SD - 1</t>
  </si>
  <si>
    <t>MR - Lollies - M - 1</t>
  </si>
  <si>
    <t>10/28/20</t>
  </si>
  <si>
    <t>MR - Dexterity - Video</t>
  </si>
  <si>
    <t>MR - Walker - Video</t>
  </si>
  <si>
    <t>MR - Tools - Brand- Competitors Products</t>
  </si>
  <si>
    <t>8/13/20</t>
  </si>
  <si>
    <t>MR Competitor and Categories</t>
  </si>
  <si>
    <t>MR - SB- MK- Tools - Brand - Competitors</t>
  </si>
  <si>
    <t>MR - Tools - brand- Campaigns</t>
  </si>
  <si>
    <t>MR - Sophies House - Brand - Competitors products</t>
  </si>
  <si>
    <t>MR - Sophies House - Brand - Competitors</t>
  </si>
  <si>
    <t>MR - Sophies House - Brand - Categories</t>
  </si>
  <si>
    <t>MR - Shop - Brand - Competitors Products</t>
  </si>
  <si>
    <t>MR - Shop - Brand - Competitors</t>
  </si>
  <si>
    <t>MR - Shop - Brand - Categories</t>
  </si>
  <si>
    <t>MR - Pirate - Brand - Competitors</t>
  </si>
  <si>
    <t>MR - Pirate - Brand - Categories</t>
  </si>
  <si>
    <t>MR - Phone - Brand - Competitors</t>
  </si>
  <si>
    <t>MR - Phone -Brand - Categories</t>
  </si>
  <si>
    <t>MR - Noahs Ark -Brand - Competitors Products</t>
  </si>
  <si>
    <t>MR - SB- PCT- Cars Construction -1</t>
  </si>
  <si>
    <t>MR - NY Car Set - Brand - Competitors Products</t>
  </si>
  <si>
    <t>MR - NY Car Set - Brand - Competitors</t>
  </si>
  <si>
    <t>MR - Money- Brand - Competitors Products</t>
  </si>
  <si>
    <t>MR - Money- Brand 0- categories</t>
  </si>
  <si>
    <t>MR - Money- Brand - Competitors</t>
  </si>
  <si>
    <t>MR - Mobile - Brand - Competitors Products</t>
  </si>
  <si>
    <t>MR - Mobile - Brand - Competitors</t>
  </si>
  <si>
    <t>MR - Mobile - Brand -  Categories</t>
  </si>
  <si>
    <t>MR - Forest Stacker - Brand - Competitors Products</t>
  </si>
  <si>
    <t>MR - SB- MK- Forest Stacker  Brand  Competitors- 1</t>
  </si>
  <si>
    <t>MR - Forest Stacker - Brand- Categories</t>
  </si>
  <si>
    <t>MR - Farm - Brands - Competitors Products</t>
  </si>
  <si>
    <t>MR - SB - MK- Farm Competitors- 1</t>
  </si>
  <si>
    <t>MR - Farm - Brand - Categories</t>
  </si>
  <si>
    <t>MR - Doll Furniture - Brand - Competitors Products</t>
  </si>
  <si>
    <t>MR - Doll Furniture - Brand -Competitors</t>
  </si>
  <si>
    <t>MR - Doll Furniture - Brand Categories</t>
  </si>
  <si>
    <t>MR - Doll House - Brand - Competitors</t>
  </si>
  <si>
    <t>MR - Doctors - Brand - Competitors  Products</t>
  </si>
  <si>
    <t>MR - Doctors - Products - Competitors</t>
  </si>
  <si>
    <t>MR - Doctors -Brand- Categories</t>
  </si>
  <si>
    <t>MR - Dexterity  - Brand - Competitors Products</t>
  </si>
  <si>
    <t>MR - SB- PCT-  Desert  - Brand -  Competitors Products</t>
  </si>
  <si>
    <t>MR - Counting Book - Brand -  Competitors Products</t>
  </si>
  <si>
    <t>MR - Counting Book  - Brand - Competitors</t>
  </si>
  <si>
    <t>MR - Counting Book - Brand - Categories</t>
  </si>
  <si>
    <t>MR - Cooking - Brands - Competitors Products</t>
  </si>
  <si>
    <t>MR - Cooking - Brand - Competitors</t>
  </si>
  <si>
    <t>MR - Cooking - Brand - Categories</t>
  </si>
  <si>
    <t>MR - Castle - Brand - Competitors Product</t>
  </si>
  <si>
    <t>MR - Castle - Brand - Competitors</t>
  </si>
  <si>
    <t>MR - Castle - Brand - Categories</t>
  </si>
  <si>
    <t>MR - Camera - Brands - Competitors Product</t>
  </si>
  <si>
    <t>MR - Camera - Brand - Competitors</t>
  </si>
  <si>
    <t>MR - Camera - Brand- Categories</t>
  </si>
  <si>
    <t>MR - Blender - Product - Competitors Product</t>
  </si>
  <si>
    <t>MR - Blender - Brand - Competitorss</t>
  </si>
  <si>
    <t>MR - Blender - Brand - Competitors</t>
  </si>
  <si>
    <t>MR - Binocular - Brand - Competitors Product</t>
  </si>
  <si>
    <t>MR - Binoculars - Brand - Competitors</t>
  </si>
  <si>
    <t>MR - Binocular - Brand - Categories</t>
  </si>
  <si>
    <t>MR - Baby Gym  - Brand - Competitors Product</t>
  </si>
  <si>
    <t>MR - Baby Gym - Brand - Competitors</t>
  </si>
  <si>
    <t>MR - Baby Gym - Brand - Categories</t>
  </si>
  <si>
    <t>MR - Dexterity  - Categories</t>
  </si>
  <si>
    <t>MR - Sophies House   - Categories</t>
  </si>
  <si>
    <t>MR - Doll House - Competitors  Products</t>
  </si>
  <si>
    <t>MR - Baby Gym - Categories</t>
  </si>
  <si>
    <t>MR - Baby Gym - Competitors</t>
  </si>
  <si>
    <t>MR - Baby Gym  - Competitors Product</t>
  </si>
  <si>
    <t>MR - Binocular - Categories</t>
  </si>
  <si>
    <t>MR - Binoculars - Competitors</t>
  </si>
  <si>
    <t>MR - Binocular - Competitors Product</t>
  </si>
  <si>
    <t>MR - Blender - Categories</t>
  </si>
  <si>
    <t>MR - Blender - Competitors</t>
  </si>
  <si>
    <t>MR - Blender - Competitors Product</t>
  </si>
  <si>
    <t>MR - Camera - Categories</t>
  </si>
  <si>
    <t>MR - Camera - Competitors</t>
  </si>
  <si>
    <t>MR - Camera - Competitors Product</t>
  </si>
  <si>
    <t>MR - Sophies House   - Competitors products</t>
  </si>
  <si>
    <t>MR - Castle - Categories</t>
  </si>
  <si>
    <t>MR - Castle - Competitors</t>
  </si>
  <si>
    <t>MR - Castle - Competitors Product</t>
  </si>
  <si>
    <t>MR - Cooking - Categories</t>
  </si>
  <si>
    <t>MR - Cooking - Competitors</t>
  </si>
  <si>
    <t>MR - Cooking - Competitors Products</t>
  </si>
  <si>
    <t>MR - Counting Book - Categories</t>
  </si>
  <si>
    <t>MR - Counting Book  - Competitors</t>
  </si>
  <si>
    <t>MR - Counting Book - Competitors Products</t>
  </si>
  <si>
    <t>MR - Doll Furniture Competitors Products</t>
  </si>
  <si>
    <t>MR - Desert  - Categories</t>
  </si>
  <si>
    <t>MR - Desert  - Competitors</t>
  </si>
  <si>
    <t>MR - Desert  - Competitors Products</t>
  </si>
  <si>
    <t>MR - Dexterity  - Competitors</t>
  </si>
  <si>
    <t>MR - Dexterity  - Competitors Products</t>
  </si>
  <si>
    <t>MR - Doctors - Competitors</t>
  </si>
  <si>
    <t>MR - SP - CPT- Doctors - 1</t>
  </si>
  <si>
    <t>MR - Doctors - Competitors  Products</t>
  </si>
  <si>
    <t>MR - Doll House - Categories</t>
  </si>
  <si>
    <t>MR - Doll House - Competitors</t>
  </si>
  <si>
    <t>MR - Doll Furniture - Categories</t>
  </si>
  <si>
    <t>MR - Doll Furniture Competitors</t>
  </si>
  <si>
    <t>MR - Farm - Categories</t>
  </si>
  <si>
    <t>MR - Farm - Competitors</t>
  </si>
  <si>
    <t>MR - Farm - Competitors Products</t>
  </si>
  <si>
    <t>MR - Forest Stacker - Categories</t>
  </si>
  <si>
    <t>MR - Forest Stacker - Competitors</t>
  </si>
  <si>
    <t>MR - Forest Stacker - Competitors Products</t>
  </si>
  <si>
    <t>MR - Garages- Categories</t>
  </si>
  <si>
    <t>MR - Garages- Competitors</t>
  </si>
  <si>
    <t>MR - Garages- Competitors Products</t>
  </si>
  <si>
    <t>MR - Mobile - Categories</t>
  </si>
  <si>
    <t>MR - Mobile - Competitors</t>
  </si>
  <si>
    <t>MR - Mobile - Competitors Products</t>
  </si>
  <si>
    <t>MR - SP- CPT- Cash Register- 1</t>
  </si>
  <si>
    <t>MR - Money- Competitors</t>
  </si>
  <si>
    <t>MR - SP- CPT- Cash Register Competitors- 2</t>
  </si>
  <si>
    <t>MR - NY Car Set - Categories</t>
  </si>
  <si>
    <t>MR - NY Car Set - Competitors</t>
  </si>
  <si>
    <t>MR - NY Car Set - Competitors Products</t>
  </si>
  <si>
    <t>MR - Noahs Ark - Categories</t>
  </si>
  <si>
    <t>MR - Noahs Ark - Competitors</t>
  </si>
  <si>
    <t>MR - Noahs Ark - Competitors Products</t>
  </si>
  <si>
    <t>MR - Phone - Categories</t>
  </si>
  <si>
    <t>MR - Phone - Competitors</t>
  </si>
  <si>
    <t>MR - Phone - Competitors Products</t>
  </si>
  <si>
    <t>MR - Pirate - Categories</t>
  </si>
  <si>
    <t>MR - Pirate - Competitors</t>
  </si>
  <si>
    <t>SP-PT-Barbarossa Pirate Ship-Competitors Products-GB</t>
  </si>
  <si>
    <t>MR - Shop - Categories</t>
  </si>
  <si>
    <t>MR - Shop - Competitors</t>
  </si>
  <si>
    <t>MR - Shop - Competitors Products</t>
  </si>
  <si>
    <t>MR - Sophies House   - Competitors</t>
  </si>
  <si>
    <t>MR - Tools - Competitors Products</t>
  </si>
  <si>
    <t>MR - Tools - Campaigns</t>
  </si>
  <si>
    <t>MR - Tools - Competitors</t>
  </si>
  <si>
    <t>ARCHIVED</t>
  </si>
  <si>
    <t>MR - Baby Gym - 1 - Auto</t>
  </si>
  <si>
    <t>CAMPAIGN_ARCHIVED</t>
  </si>
  <si>
    <t>7/21/20</t>
  </si>
  <si>
    <t>MR - Baby Gym - 1- Manual</t>
  </si>
  <si>
    <t>MR - Baby Gym - Tier 1/1 - Auto</t>
  </si>
  <si>
    <t>MR - Baby Gym - Tier 1/1 - Manual</t>
  </si>
  <si>
    <t>MR - B01AC914YO - PT - 1</t>
  </si>
  <si>
    <t>MR - PT</t>
  </si>
  <si>
    <t>MR - B07BKFV6D3 - PT - 1</t>
  </si>
  <si>
    <t>MR - B00DQRSOPC - PT - 1</t>
  </si>
  <si>
    <t>MR - B07BKFNSRK - PT - 1</t>
  </si>
  <si>
    <t>MR - B00IWCQAUM - PT - 1</t>
  </si>
  <si>
    <t>MR - B00DQQR1CA - PT - 1</t>
  </si>
  <si>
    <t>MR - B000FUU1I6 - PT - 1</t>
  </si>
  <si>
    <t>MR - B06WV9FHM8 - PT - 1</t>
  </si>
  <si>
    <t>MR - B000ULHE08 - PT - 1</t>
  </si>
  <si>
    <t>MR - B00IWCQ5K2 - PT - 1</t>
  </si>
  <si>
    <t>MR - Phone - 1 - Auto</t>
  </si>
  <si>
    <t>7/20/20</t>
  </si>
  <si>
    <t>MR - Camera - 1 - Manual</t>
  </si>
  <si>
    <t>MR - Cooking - 1 - Manual</t>
  </si>
  <si>
    <t>MR - Learning Clock - 1 - Manual</t>
  </si>
  <si>
    <t>MR - Garage- 1 - Manual</t>
  </si>
  <si>
    <t>MR - SP- AK- Cash Register - 1</t>
  </si>
  <si>
    <t>MR - SP- MK - Doctors - 1</t>
  </si>
  <si>
    <t>MR - Desert -1- Manual</t>
  </si>
  <si>
    <t>MR - Phone - 1 - Manual</t>
  </si>
  <si>
    <t>MR - Doll House Furniture - 1 - Manual</t>
  </si>
  <si>
    <t>OLD</t>
  </si>
  <si>
    <t>MR - Castle - 1 - Auto</t>
  </si>
  <si>
    <t>MR - Memory Puzzle - 1 - Auto</t>
  </si>
  <si>
    <t>MR - Farm - 1 - Auto</t>
  </si>
  <si>
    <t>MR - Shop- 1 - Auto</t>
  </si>
  <si>
    <t>MR - SP- MK- Cash Register - 1</t>
  </si>
  <si>
    <t>MR - Pirate - 1 - Auto</t>
  </si>
  <si>
    <t>MR - Binoculars - 1 - Auto</t>
  </si>
  <si>
    <t>MR - Counting Book - 1 - Auto</t>
  </si>
  <si>
    <t>MR - Castle - 1 - Manual</t>
  </si>
  <si>
    <t>MR - Dexterity - 1 - Auto</t>
  </si>
  <si>
    <t>MR - Memory Puzzle - 1 - Manual</t>
  </si>
  <si>
    <t>MR - Noahs Ark - 1 - Auto</t>
  </si>
  <si>
    <t>MR - Pirate - 1 - Manual</t>
  </si>
  <si>
    <t>MR - Doll House  - 1 - Auto</t>
  </si>
  <si>
    <t>MR - Binoculars - 1- Manual</t>
  </si>
  <si>
    <t>MR - SP- MK - Farm - 1</t>
  </si>
  <si>
    <t>MR - SP- MK- Shop- 1 - Manual</t>
  </si>
  <si>
    <t>MR - Counting Book - 1 - Manual</t>
  </si>
  <si>
    <t>MR - Dexterity - 1 - Manual</t>
  </si>
  <si>
    <t>MR - Mobile - 1 - Auto</t>
  </si>
  <si>
    <t>SP-AT-Cooking Toys-HVT-Catch All</t>
  </si>
  <si>
    <t>SP-BMM-Noahs Ark-B000RPOCB6-HVT-NB-GB</t>
  </si>
  <si>
    <t>MR - Doll House Furniture - 1 - Auto</t>
  </si>
  <si>
    <t>MR - Camera - 1 - Auto</t>
  </si>
  <si>
    <t>MR - Desert -1- Auto</t>
  </si>
  <si>
    <t>MR - Garage- 1 - Auto</t>
  </si>
  <si>
    <t>MR - Learning Clock - 1 - Auto</t>
  </si>
  <si>
    <t>MR - Mobile - 1 - Manual</t>
  </si>
  <si>
    <t>MR - Doctors - 1 - Auto</t>
  </si>
  <si>
    <t>SP-PH1-Mayberry Manor-HVT-NB-GB</t>
  </si>
  <si>
    <t>MR - Dolls House - Furniture - Auto</t>
  </si>
  <si>
    <t>6/23/20</t>
  </si>
  <si>
    <t>SP-BrPh-Dolls House - Furniture</t>
  </si>
  <si>
    <t>MR - Mixer Set - A - 1</t>
  </si>
  <si>
    <t>MR - NY Car Set - M - 1</t>
  </si>
  <si>
    <t>MR - Blender - M - 1</t>
  </si>
  <si>
    <t>MR - Sophie's House - M - 1</t>
  </si>
  <si>
    <t>MR - Sophie's House - A - 1</t>
  </si>
  <si>
    <t>MR - Doctors Set - M - 1</t>
  </si>
  <si>
    <t>MR - Doctors Set - A - 1</t>
  </si>
  <si>
    <t>MR - Tool Bench - M - 1</t>
  </si>
  <si>
    <t>MR - Tool Bench - A - 1</t>
  </si>
  <si>
    <t>MR - Mixer Set - M - 1</t>
  </si>
  <si>
    <t>MR - Garage - M - 1</t>
  </si>
  <si>
    <t>MR - Garage - A - 1</t>
  </si>
  <si>
    <t>MR - Blender - A - 1</t>
  </si>
  <si>
    <t>MR - Forest Stacker-Branded</t>
  </si>
  <si>
    <t>MR - Forest Stacker - A - 1</t>
  </si>
  <si>
    <t>MR - NY Car Set - A - 1</t>
  </si>
  <si>
    <t>MR - B00893HHY2  Shop &amp; Cafe - M - 1</t>
  </si>
  <si>
    <t>MR - Shop Stall Individual - A - 1</t>
  </si>
  <si>
    <t>Food Crates</t>
  </si>
  <si>
    <t>Historic</t>
  </si>
  <si>
    <t>Cherry tree</t>
  </si>
  <si>
    <t>Forest stacker</t>
  </si>
  <si>
    <t>Barbarossa Pirateship</t>
  </si>
  <si>
    <t>Grand Garage</t>
  </si>
  <si>
    <t>Pink Pram</t>
  </si>
  <si>
    <t>Café machine</t>
  </si>
  <si>
    <t>Honeybake Market</t>
  </si>
  <si>
    <t>Sophies House</t>
  </si>
  <si>
    <t>Noahs Ark Collection</t>
  </si>
  <si>
    <t>Doll house furniture</t>
  </si>
  <si>
    <t>NY Car Set</t>
  </si>
  <si>
    <t>Construction Set</t>
  </si>
  <si>
    <t>Alexs Tool Bench</t>
  </si>
  <si>
    <t>Test Auto Core</t>
  </si>
  <si>
    <t>11/19/19</t>
  </si>
  <si>
    <t>Test Keyword Dr Set</t>
  </si>
  <si>
    <t>Doctors Set - Tv292</t>
  </si>
  <si>
    <t>Grand Total</t>
  </si>
  <si>
    <t>Ad ACOS</t>
  </si>
  <si>
    <t>Ad Type</t>
  </si>
  <si>
    <t>NTB sales</t>
  </si>
  <si>
    <t>Ad Sales</t>
  </si>
  <si>
    <t>Ad Spend</t>
  </si>
  <si>
    <t xml:space="preserve"> Online Video (Sponsored Brands) </t>
  </si>
  <si>
    <t>Sponsored Products</t>
  </si>
  <si>
    <t>Purchase</t>
  </si>
  <si>
    <t xml:space="preserve">Sponsored Display </t>
  </si>
  <si>
    <t xml:space="preserve">SB Video </t>
  </si>
  <si>
    <t xml:space="preserve">SP </t>
  </si>
  <si>
    <t xml:space="preserve">SB Banner </t>
  </si>
  <si>
    <t xml:space="preserve"> Purchase</t>
  </si>
  <si>
    <t xml:space="preserve"> SP </t>
  </si>
  <si>
    <t>SB Banner</t>
  </si>
  <si>
    <t xml:space="preserve">SD </t>
  </si>
  <si>
    <t>Sales with Ad Type Involved</t>
  </si>
  <si>
    <t>Ad involvement ACOS</t>
  </si>
  <si>
    <t xml:space="preserve">SB </t>
  </si>
  <si>
    <t xml:space="preserve"> SB </t>
  </si>
  <si>
    <t xml:space="preserve"> SB Video </t>
  </si>
  <si>
    <t xml:space="preserve">  SD </t>
  </si>
  <si>
    <t>Conversion Path</t>
  </si>
  <si>
    <t>Sponsored Display</t>
  </si>
  <si>
    <t>Est. Ad type contributing sales</t>
  </si>
  <si>
    <t>Sponsored Brands</t>
  </si>
  <si>
    <t>SB Video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</si>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</sst>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_([$$-409]* #,##0_);_([$$-409]* \(#,##0\);_([$$-409]* &quot;-&quot;??_);_(@_)"/>
  </numFmts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FFFFFF"/>
      <name val="Aptos Narrow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3B8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BCBF2"/>
        <bgColor indexed="64"/>
      </patternFill>
    </fill>
    <fill>
      <patternFill patternType="solid">
        <fgColor rgb="FFF2DCF2"/>
        <bgColor indexed="64"/>
      </patternFill>
    </fill>
    <fill>
      <patternFill patternType="solid">
        <fgColor rgb="FFF2D5D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AE5FF"/>
        <bgColor indexed="64"/>
      </patternFill>
    </fill>
    <fill>
      <patternFill patternType="solid">
        <fgColor rgb="FFDBDFFF"/>
        <bgColor indexed="64"/>
      </patternFill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5">
    <xf numFmtId="0" fontId="0" fillId="0" borderId="0" xfId="0"/>
    <xf numFmtId="14" fontId="0" fillId="0" borderId="0" xfId="0" applyNumberFormat="1"/>
    <xf numFmtId="10" fontId="0" fillId="0" borderId="0" xfId="0" applyNumberFormat="1"/>
    <xf numFmtId="164" fontId="0" fillId="0" borderId="0" xfId="1" applyNumberFormat="1" applyFont="1"/>
    <xf numFmtId="0" fontId="0" fillId="0" borderId="10" xfId="0" applyBorder="1"/>
    <xf numFmtId="164" fontId="0" fillId="0" borderId="10" xfId="1" applyNumberFormat="1" applyFont="1" applyBorder="1" applyAlignment="1">
      <alignment horizontal="center"/>
    </xf>
    <xf numFmtId="165" fontId="0" fillId="0" borderId="10" xfId="0" applyNumberFormat="1" applyBorder="1"/>
    <xf numFmtId="0" fontId="16" fillId="34" borderId="10" xfId="0" applyFont="1" applyFill="1" applyBorder="1" applyAlignment="1">
      <alignment horizontal="center" vertical="center" wrapText="1"/>
    </xf>
    <xf numFmtId="0" fontId="16" fillId="33" borderId="10" xfId="0" applyFont="1" applyFill="1" applyBorder="1" applyAlignment="1">
      <alignment horizontal="center" vertical="center" wrapText="1"/>
    </xf>
    <xf numFmtId="165" fontId="0" fillId="35" borderId="10" xfId="0" applyNumberFormat="1" applyFill="1" applyBorder="1"/>
    <xf numFmtId="0" fontId="0" fillId="35" borderId="10" xfId="0" applyFill="1" applyBorder="1"/>
    <xf numFmtId="0" fontId="17" fillId="36" borderId="0" xfId="0" applyFont="1" applyFill="1" applyAlignment="1">
      <alignment horizontal="center" vertical="center"/>
    </xf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16" fillId="34" borderId="11" xfId="0" applyFont="1" applyFill="1" applyBorder="1" applyAlignment="1">
      <alignment horizontal="center" vertical="center" wrapText="1"/>
    </xf>
    <xf numFmtId="0" fontId="0" fillId="43" borderId="10" xfId="0" applyFill="1" applyBorder="1"/>
    <xf numFmtId="165" fontId="0" fillId="43" borderId="10" xfId="0" applyNumberFormat="1" applyFill="1" applyBorder="1"/>
    <xf numFmtId="0" fontId="0" fillId="44" borderId="0" xfId="0" applyFill="1"/>
    <xf numFmtId="0" fontId="0" fillId="45" borderId="0" xfId="0" applyFill="1"/>
    <xf numFmtId="1" fontId="0" fillId="35" borderId="10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17" fillId="42" borderId="10" xfId="0" applyFont="1" applyFill="1" applyBorder="1"/>
    <xf numFmtId="14" fontId="0" fillId="0" borderId="10" xfId="0" applyNumberFormat="1" applyBorder="1"/>
    <xf numFmtId="0" fontId="0" fillId="37" borderId="10" xfId="0" applyFill="1" applyBorder="1"/>
    <xf numFmtId="0" fontId="0" fillId="39" borderId="10" xfId="0" applyFill="1" applyBorder="1"/>
    <xf numFmtId="0" fontId="0" fillId="38" borderId="10" xfId="0" applyFill="1" applyBorder="1"/>
    <xf numFmtId="0" fontId="0" fillId="41" borderId="10" xfId="0" applyFill="1" applyBorder="1"/>
    <xf numFmtId="0" fontId="0" fillId="40" borderId="10" xfId="0" applyFill="1" applyBorder="1"/>
    <xf numFmtId="0" fontId="18" fillId="46" borderId="0" xfId="0" applyFont="1" applyFill="1"/>
    <xf numFmtId="1" fontId="0" fillId="43" borderId="10" xfId="0" applyNumberFormat="1" applyFill="1" applyBorder="1"/>
    <xf numFmtId="1" fontId="0" fillId="0" borderId="10" xfId="0" applyNumberFormat="1" applyBorder="1"/>
    <xf numFmtId="9" fontId="0" fillId="0" borderId="10" xfId="1" applyFont="1" applyBorder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colors>
    <mruColors>
      <color rgb="FFDBDFFF"/>
      <color rgb="FFF9F3FF"/>
      <color rgb="FFDAE5FF"/>
      <color rgb="FFF2DCF2"/>
      <color rgb="FFF2D5DF"/>
      <color rgb="FFDBCBF2"/>
      <color rgb="FFC3B8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10584</xdr:colOff>
      <xdr:row>0</xdr:row>
      <xdr:rowOff>74083</xdr:rowOff>
    </xdr:from>
    <xdr:to>
      <xdr:col>3</xdr:col>
      <xdr:colOff>984250</xdr:colOff>
      <xdr:row>2</xdr:row>
      <xdr:rowOff>10583</xdr:rowOff>
    </xdr:to>
    <xdr:sp macro="[0]!conversionPathAuto" textlink="">
      <xdr:nvSpPr>
        <xdr:cNvPr id="2" name="Rounded Rectangle 1">
          <a:extLst>
            <a:ext uri="{FF2B5EF4-FFF2-40B4-BE49-F238E27FC236}">
              <a16:creationId xmlns:a16="http://schemas.microsoft.com/office/drawing/2014/main" id="{BCDA7A0B-FBDA-D58F-8E23-8C62D152FD91}"/>
            </a:ext>
          </a:extLst>
        </xdr:cNvPr>
        <xdr:cNvSpPr/>
      </xdr:nvSpPr>
      <xdr:spPr>
        <a:xfrm>
          <a:off x="2719917" y="74083"/>
          <a:ext cx="2222500" cy="338667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kern="1200">
              <a:solidFill>
                <a:schemeClr val="bg1"/>
              </a:solidFill>
            </a:rPr>
            <a:t>Conversion Path Analysis</a:t>
          </a:r>
        </a:p>
      </xdr:txBody>
    </xdr:sp>
    <xdr:clientData/>
  </xdr:twoCellAnchor>
  <xdr:twoCellAnchor>
    <xdr:from>
      <xdr:col>3</xdr:col>
      <xdr:colOff>1090083</xdr:colOff>
      <xdr:row>0</xdr:row>
      <xdr:rowOff>84666</xdr:rowOff>
    </xdr:from>
    <xdr:to>
      <xdr:col>4</xdr:col>
      <xdr:colOff>793750</xdr:colOff>
      <xdr:row>2</xdr:row>
      <xdr:rowOff>10582</xdr:rowOff>
    </xdr:to>
    <xdr:sp macro="[0]!clearAll" textlink="">
      <xdr:nvSpPr>
        <xdr:cNvPr id="3" name="Rounded Rectangle 2">
          <a:extLst>
            <a:ext uri="{FF2B5EF4-FFF2-40B4-BE49-F238E27FC236}">
              <a16:creationId xmlns:a16="http://schemas.microsoft.com/office/drawing/2014/main" id="{8A0F2A5D-82E1-41A3-6C46-4C411EEBB50C}"/>
            </a:ext>
          </a:extLst>
        </xdr:cNvPr>
        <xdr:cNvSpPr/>
      </xdr:nvSpPr>
      <xdr:spPr>
        <a:xfrm>
          <a:off x="5048250" y="84666"/>
          <a:ext cx="973667" cy="328083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kern="1200"/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74F88-5656-3047-993D-30D4BC4DD732}">
  <sheetPr codeName="Sheet1"/>
  <dimension ref="A5:O105"/>
  <sheetViews>
    <sheetView showGridLines="0" tabSelected="1" topLeftCell="A37" zoomScale="112" zoomScaleNormal="170" workbookViewId="0">
      <selection activeCell="I18" sqref="I18"/>
    </sheetView>
  </sheetViews>
  <sheetFormatPr baseColWidth="10" defaultRowHeight="16" x14ac:dyDescent="0.2"/>
  <cols>
    <col min="1" max="2" width="17.83203125" bestFit="1" customWidth="1"/>
    <col min="3" max="3" width="16.33203125" bestFit="1" customWidth="1"/>
    <col min="4" max="4" width="16.6640625" bestFit="1" customWidth="1"/>
    <col min="5" max="5" width="12.83203125" bestFit="1" customWidth="1"/>
    <col min="6" max="6" width="17.1640625" bestFit="1" customWidth="1"/>
    <col min="8" max="8" width="16.33203125" customWidth="1"/>
  </cols>
  <sheetData>
    <row r="5" spans="1:11" ht="51" x14ac:dyDescent="0.2">
      <c r="A5" s="7" t="s">
        <v>792</v>
      </c>
      <c r="B5" s="7" t="s">
        <v>793</v>
      </c>
      <c r="C5" s="7" t="s">
        <v>56</v>
      </c>
      <c r="D5" s="7" t="s">
        <v>794</v>
      </c>
      <c r="E5" s="7" t="s">
        <v>52</v>
      </c>
      <c r="F5" s="7" t="s">
        <v>795</v>
      </c>
      <c r="G5" s="8" t="s">
        <v>791</v>
      </c>
      <c r="H5" s="7" t="s">
        <v>807</v>
      </c>
      <c r="I5" s="7" t="s">
        <v>808</v>
      </c>
      <c r="J5" s="7" t="s">
        <v>815</v>
      </c>
      <c r="K5" s="7" t="s">
        <v>808</v>
      </c>
    </row>
    <row r="6" spans="1:11" x14ac:dyDescent="0.2">
      <c r="A6" s="4" t="s">
        <v>73</v>
      </c>
      <c r="B6" s="9">
        <v>67812.47</v>
      </c>
      <c r="C6" s="22">
        <v>1980</v>
      </c>
      <c r="D6" s="6">
        <v>121451.32999999999</v>
      </c>
      <c r="E6" s="4">
        <v>3303</v>
      </c>
      <c r="F6" s="6">
        <v>23317.470000000008</v>
      </c>
      <c r="G6" s="5">
        <f>F6/D6</f>
        <v>0.19199024004101076</v>
      </c>
      <c r="H6" s="6">
        <v>151070.00999999998</v>
      </c>
      <c r="I6" s="34">
        <f>IFERROR(F6/H6,"")</f>
        <v>0.15434876849481913</v>
      </c>
      <c r="J6" s="33">
        <v>118519.90000000001</v>
      </c>
      <c r="K6" s="5">
        <f>F6/J6</f>
        <v>0.19673885988766449</v>
      </c>
    </row>
    <row r="7" spans="1:11" x14ac:dyDescent="0.2">
      <c r="A7" s="4" t="s">
        <v>256</v>
      </c>
      <c r="B7" s="6">
        <v>4571</v>
      </c>
      <c r="C7" s="23">
        <v>336</v>
      </c>
      <c r="D7" s="6">
        <v>7283.68</v>
      </c>
      <c r="E7" s="4">
        <v>412</v>
      </c>
      <c r="F7" s="6">
        <v>1749.23</v>
      </c>
      <c r="G7" s="5">
        <f>F7/D7</f>
        <v>0.24015744788348747</v>
      </c>
      <c r="H7" s="6">
        <v>46448.65</v>
      </c>
      <c r="I7" s="34">
        <f t="shared" ref="I7:I9" si="0">IFERROR(F7/H7,"")</f>
        <v>3.7659436818938762E-2</v>
      </c>
      <c r="J7" s="33">
        <v>22257.69921875</v>
      </c>
      <c r="K7" s="5">
        <f t="shared" ref="K7:K9" si="1">F7/J7</f>
        <v>7.8589884013098701E-2</v>
      </c>
    </row>
    <row r="8" spans="1:11" x14ac:dyDescent="0.2">
      <c r="A8" s="4" t="s">
        <v>498</v>
      </c>
      <c r="B8" s="6">
        <v>7212.94</v>
      </c>
      <c r="C8" s="23">
        <v>173</v>
      </c>
      <c r="D8" s="6">
        <v>20691.77</v>
      </c>
      <c r="E8" s="4">
        <v>413</v>
      </c>
      <c r="F8" s="6">
        <v>5467.4199999999992</v>
      </c>
      <c r="G8" s="5">
        <f>F8/D8</f>
        <v>0.26423162445745335</v>
      </c>
      <c r="H8" s="6">
        <v>42851.98000000001</v>
      </c>
      <c r="I8" s="34">
        <f t="shared" si="0"/>
        <v>0.12758850349505432</v>
      </c>
      <c r="J8" s="33">
        <v>23578.000000000004</v>
      </c>
      <c r="K8" s="5">
        <f t="shared" si="1"/>
        <v>0.23188650436847902</v>
      </c>
    </row>
    <row r="9" spans="1:11" x14ac:dyDescent="0.2">
      <c r="A9" s="4" t="s">
        <v>490</v>
      </c>
      <c r="B9" s="6">
        <v>137.04</v>
      </c>
      <c r="C9" s="23">
        <v>6</v>
      </c>
      <c r="D9" s="6">
        <v>259.86</v>
      </c>
      <c r="E9" s="4">
        <v>12</v>
      </c>
      <c r="F9" s="6">
        <v>85.18</v>
      </c>
      <c r="G9" s="5">
        <f>F9/D9</f>
        <v>0.3277918879396598</v>
      </c>
      <c r="H9" s="6">
        <v>295.55</v>
      </c>
      <c r="I9" s="34">
        <f t="shared" si="0"/>
        <v>0.28820842497039417</v>
      </c>
      <c r="J9" s="33">
        <v>204.90000000000003</v>
      </c>
      <c r="K9" s="5">
        <f t="shared" si="1"/>
        <v>0.41571498291849679</v>
      </c>
    </row>
    <row r="10" spans="1:11" x14ac:dyDescent="0.2">
      <c r="A10" s="18" t="s">
        <v>790</v>
      </c>
      <c r="B10" s="19">
        <f>SUM(B6:B9)</f>
        <v>79733.45</v>
      </c>
      <c r="C10" s="32">
        <f>SUM(C6:C9)</f>
        <v>2495</v>
      </c>
      <c r="D10" s="19">
        <f>SUM(D6:D9)</f>
        <v>149686.63999999996</v>
      </c>
      <c r="E10" s="32">
        <f>SUM(E6:E9)</f>
        <v>4140</v>
      </c>
      <c r="F10" s="19">
        <f>SUM(F6:F9)</f>
        <v>30619.300000000007</v>
      </c>
      <c r="G10" s="18"/>
      <c r="H10" s="4"/>
      <c r="I10" s="4"/>
      <c r="J10" s="4"/>
    </row>
    <row r="14" spans="1:11" x14ac:dyDescent="0.2">
      <c r="A14" s="24" t="s">
        <v>813</v>
      </c>
      <c r="B14" s="24"/>
      <c r="C14" s="24"/>
      <c r="D14" s="24"/>
      <c r="E14" s="24"/>
      <c r="F14" s="24" t="s">
        <v>4</v>
      </c>
      <c r="G14" s="24" t="s">
        <v>5</v>
      </c>
      <c r="H14" s="24" t="s">
        <v>6</v>
      </c>
      <c r="I14" s="24" t="s">
        <v>7</v>
      </c>
      <c r="J14" s="24" t="s">
        <v>8</v>
      </c>
    </row>
    <row r="15" spans="1:11" x14ac:dyDescent="0.2">
      <c r="A15" s="26" t="s">
        <v>801</v>
      </c>
      <c r="B15" s="28" t="s">
        <v>803</v>
      </c>
      <c r="C15" s="4"/>
      <c r="D15" s="4"/>
      <c r="E15" s="4"/>
      <c r="F15" s="4">
        <v>89994.04</v>
      </c>
      <c r="G15" s="4">
        <v>2530</v>
      </c>
      <c r="H15" s="4">
        <v>67812.47</v>
      </c>
      <c r="I15" s="4">
        <v>1980</v>
      </c>
      <c r="J15" s="4">
        <v>49.84</v>
      </c>
    </row>
    <row r="16" spans="1:11" x14ac:dyDescent="0.2">
      <c r="A16" s="26" t="s">
        <v>801</v>
      </c>
      <c r="B16" s="27" t="s">
        <v>812</v>
      </c>
      <c r="C16" s="28" t="s">
        <v>803</v>
      </c>
      <c r="D16" s="4"/>
      <c r="E16" s="4"/>
      <c r="F16" s="4">
        <v>18253.14</v>
      </c>
      <c r="G16" s="4">
        <v>509</v>
      </c>
      <c r="H16" s="4">
        <v>11672.85</v>
      </c>
      <c r="I16" s="4">
        <v>303</v>
      </c>
      <c r="J16" s="4">
        <v>10.11</v>
      </c>
    </row>
    <row r="17" spans="1:10" x14ac:dyDescent="0.2">
      <c r="A17" s="26" t="s">
        <v>806</v>
      </c>
      <c r="B17" s="27" t="s">
        <v>804</v>
      </c>
      <c r="C17" s="28" t="s">
        <v>803</v>
      </c>
      <c r="D17" s="4"/>
      <c r="E17" s="4"/>
      <c r="F17" s="4">
        <v>11117.63</v>
      </c>
      <c r="G17" s="4">
        <v>301</v>
      </c>
      <c r="H17" s="4">
        <v>8354.5300000000007</v>
      </c>
      <c r="I17" s="4">
        <v>206</v>
      </c>
      <c r="J17" s="4">
        <v>6.16</v>
      </c>
    </row>
    <row r="18" spans="1:10" x14ac:dyDescent="0.2">
      <c r="A18" s="26" t="s">
        <v>801</v>
      </c>
      <c r="B18" s="27" t="s">
        <v>810</v>
      </c>
      <c r="C18" s="28" t="s">
        <v>803</v>
      </c>
      <c r="D18" s="4"/>
      <c r="E18" s="4"/>
      <c r="F18" s="4">
        <v>10536.19</v>
      </c>
      <c r="G18" s="4">
        <v>187</v>
      </c>
      <c r="H18" s="4">
        <v>7378</v>
      </c>
      <c r="I18" s="4">
        <v>112</v>
      </c>
      <c r="J18" s="4">
        <v>6.15</v>
      </c>
    </row>
    <row r="19" spans="1:10" x14ac:dyDescent="0.2">
      <c r="A19" s="26" t="s">
        <v>809</v>
      </c>
      <c r="B19" s="27" t="s">
        <v>804</v>
      </c>
      <c r="C19" s="28" t="s">
        <v>803</v>
      </c>
      <c r="D19" s="4"/>
      <c r="E19" s="4"/>
      <c r="F19" s="4">
        <v>9045.0400000000009</v>
      </c>
      <c r="G19" s="4">
        <v>164</v>
      </c>
      <c r="H19" s="4">
        <v>7377.26</v>
      </c>
      <c r="I19" s="4">
        <v>123</v>
      </c>
      <c r="J19" s="4">
        <v>5.26</v>
      </c>
    </row>
    <row r="20" spans="1:10" x14ac:dyDescent="0.2">
      <c r="A20" s="26" t="s">
        <v>809</v>
      </c>
      <c r="B20" s="28" t="s">
        <v>803</v>
      </c>
      <c r="C20" s="4"/>
      <c r="D20" s="4"/>
      <c r="E20" s="4"/>
      <c r="F20" s="4">
        <v>8316.74</v>
      </c>
      <c r="G20" s="4">
        <v>201</v>
      </c>
      <c r="H20" s="4">
        <v>7212.94</v>
      </c>
      <c r="I20" s="4">
        <v>173</v>
      </c>
      <c r="J20" s="4">
        <v>4.6100000000000003</v>
      </c>
    </row>
    <row r="21" spans="1:10" x14ac:dyDescent="0.2">
      <c r="A21" s="26" t="s">
        <v>806</v>
      </c>
      <c r="B21" s="28" t="s">
        <v>803</v>
      </c>
      <c r="C21" s="4"/>
      <c r="D21" s="4"/>
      <c r="E21" s="4"/>
      <c r="F21" s="4">
        <v>2091</v>
      </c>
      <c r="G21" s="4">
        <v>394</v>
      </c>
      <c r="H21" s="4">
        <v>4571</v>
      </c>
      <c r="I21" s="4">
        <v>336</v>
      </c>
      <c r="J21" s="4">
        <v>10.029999999999999</v>
      </c>
    </row>
    <row r="22" spans="1:10" x14ac:dyDescent="0.2">
      <c r="A22" s="26" t="s">
        <v>809</v>
      </c>
      <c r="B22" s="27" t="s">
        <v>804</v>
      </c>
      <c r="C22" s="29" t="s">
        <v>812</v>
      </c>
      <c r="D22" s="28" t="s">
        <v>803</v>
      </c>
      <c r="E22" s="4"/>
      <c r="F22" s="4">
        <v>3629.58</v>
      </c>
      <c r="G22" s="4">
        <v>65</v>
      </c>
      <c r="H22" s="4">
        <v>2564.25</v>
      </c>
      <c r="I22" s="4">
        <v>37</v>
      </c>
      <c r="J22" s="4">
        <v>3.26</v>
      </c>
    </row>
    <row r="23" spans="1:10" x14ac:dyDescent="0.2">
      <c r="A23" s="26" t="s">
        <v>801</v>
      </c>
      <c r="B23" s="27" t="s">
        <v>810</v>
      </c>
      <c r="C23" s="29" t="s">
        <v>812</v>
      </c>
      <c r="D23" s="28" t="s">
        <v>803</v>
      </c>
      <c r="E23" s="4"/>
      <c r="F23" s="4">
        <v>3293.08</v>
      </c>
      <c r="G23" s="4">
        <v>89</v>
      </c>
      <c r="H23" s="4">
        <v>2141.8200000000002</v>
      </c>
      <c r="I23" s="4">
        <v>46</v>
      </c>
      <c r="J23" s="4">
        <v>2.08</v>
      </c>
    </row>
    <row r="24" spans="1:10" x14ac:dyDescent="0.2">
      <c r="A24" s="26" t="s">
        <v>801</v>
      </c>
      <c r="B24" s="27" t="s">
        <v>812</v>
      </c>
      <c r="C24" s="29" t="s">
        <v>810</v>
      </c>
      <c r="D24" s="28" t="s">
        <v>803</v>
      </c>
      <c r="E24" s="4"/>
      <c r="F24" s="4">
        <v>2353.8000000000002</v>
      </c>
      <c r="G24" s="4">
        <v>49</v>
      </c>
      <c r="H24" s="4">
        <v>1390.95</v>
      </c>
      <c r="I24" s="4">
        <v>26</v>
      </c>
      <c r="J24" s="4">
        <v>1.65</v>
      </c>
    </row>
    <row r="25" spans="1:10" x14ac:dyDescent="0.2">
      <c r="A25" s="26" t="s">
        <v>806</v>
      </c>
      <c r="B25" s="27" t="s">
        <v>804</v>
      </c>
      <c r="C25" s="29" t="s">
        <v>810</v>
      </c>
      <c r="D25" s="28" t="s">
        <v>803</v>
      </c>
      <c r="E25" s="4"/>
      <c r="F25" s="4">
        <v>1504.33</v>
      </c>
      <c r="G25" s="4">
        <v>19</v>
      </c>
      <c r="H25" s="4">
        <v>764.24</v>
      </c>
      <c r="I25" s="4">
        <v>10</v>
      </c>
      <c r="J25" s="4">
        <v>2.42</v>
      </c>
    </row>
    <row r="26" spans="1:10" x14ac:dyDescent="0.2">
      <c r="A26" s="26" t="s">
        <v>809</v>
      </c>
      <c r="B26" s="27" t="s">
        <v>812</v>
      </c>
      <c r="C26" s="28" t="s">
        <v>803</v>
      </c>
      <c r="D26" s="4"/>
      <c r="E26" s="4"/>
      <c r="F26" s="4">
        <v>1472.63</v>
      </c>
      <c r="G26" s="4">
        <v>33</v>
      </c>
      <c r="H26" s="4">
        <v>1320.79</v>
      </c>
      <c r="I26" s="4">
        <v>26</v>
      </c>
      <c r="J26" s="4">
        <v>1.37</v>
      </c>
    </row>
    <row r="27" spans="1:10" x14ac:dyDescent="0.2">
      <c r="A27" s="26" t="s">
        <v>806</v>
      </c>
      <c r="B27" s="27" t="s">
        <v>810</v>
      </c>
      <c r="C27" s="28" t="s">
        <v>803</v>
      </c>
      <c r="D27" s="4"/>
      <c r="E27" s="4"/>
      <c r="F27" s="4">
        <v>1434.26</v>
      </c>
      <c r="G27" s="4">
        <v>22</v>
      </c>
      <c r="H27" s="4">
        <v>1108.33</v>
      </c>
      <c r="I27" s="4">
        <v>12</v>
      </c>
      <c r="J27" s="4">
        <v>1.44</v>
      </c>
    </row>
    <row r="28" spans="1:10" x14ac:dyDescent="0.2">
      <c r="A28" s="26" t="s">
        <v>806</v>
      </c>
      <c r="B28" s="27" t="s">
        <v>810</v>
      </c>
      <c r="C28" s="29" t="s">
        <v>804</v>
      </c>
      <c r="D28" s="28" t="s">
        <v>803</v>
      </c>
      <c r="E28" s="4"/>
      <c r="F28" s="4">
        <v>686.89</v>
      </c>
      <c r="G28" s="4">
        <v>9</v>
      </c>
      <c r="H28" s="4">
        <v>198.24</v>
      </c>
      <c r="I28" s="4">
        <v>7</v>
      </c>
      <c r="J28" s="4">
        <v>1.89</v>
      </c>
    </row>
    <row r="29" spans="1:10" x14ac:dyDescent="0.2">
      <c r="A29" s="26" t="s">
        <v>809</v>
      </c>
      <c r="B29" s="27" t="s">
        <v>812</v>
      </c>
      <c r="C29" s="29" t="s">
        <v>804</v>
      </c>
      <c r="D29" s="28" t="s">
        <v>803</v>
      </c>
      <c r="E29" s="4"/>
      <c r="F29" s="4">
        <v>537.08000000000004</v>
      </c>
      <c r="G29" s="4">
        <v>15</v>
      </c>
      <c r="H29" s="4">
        <v>336.64</v>
      </c>
      <c r="I29" s="4">
        <v>10</v>
      </c>
      <c r="J29" s="4">
        <v>0.56999999999999995</v>
      </c>
    </row>
    <row r="30" spans="1:10" x14ac:dyDescent="0.2">
      <c r="A30" s="26" t="s">
        <v>800</v>
      </c>
      <c r="B30" s="28" t="s">
        <v>803</v>
      </c>
      <c r="C30" s="4"/>
      <c r="D30" s="4"/>
      <c r="E30" s="4"/>
      <c r="F30" s="4">
        <v>137.04</v>
      </c>
      <c r="G30" s="4">
        <v>6</v>
      </c>
      <c r="H30" s="4">
        <v>137.04</v>
      </c>
      <c r="I30" s="4">
        <v>6</v>
      </c>
      <c r="J30" s="4">
        <v>0.44</v>
      </c>
    </row>
    <row r="31" spans="1:10" x14ac:dyDescent="0.2">
      <c r="A31" s="26" t="s">
        <v>801</v>
      </c>
      <c r="B31" s="27" t="s">
        <v>811</v>
      </c>
      <c r="C31" s="28" t="s">
        <v>803</v>
      </c>
      <c r="D31" s="4"/>
      <c r="E31" s="4"/>
      <c r="F31" s="4">
        <v>40.6</v>
      </c>
      <c r="G31" s="4">
        <v>2</v>
      </c>
      <c r="H31" s="4">
        <v>40.6</v>
      </c>
      <c r="I31" s="4">
        <v>2</v>
      </c>
      <c r="J31" s="4">
        <v>0.23</v>
      </c>
    </row>
    <row r="32" spans="1:10" x14ac:dyDescent="0.2">
      <c r="A32" s="26" t="s">
        <v>801</v>
      </c>
      <c r="B32" s="27" t="s">
        <v>811</v>
      </c>
      <c r="C32" s="29" t="s">
        <v>812</v>
      </c>
      <c r="D32" s="28" t="s">
        <v>803</v>
      </c>
      <c r="E32" s="4"/>
      <c r="F32" s="4">
        <v>34.950000000000003</v>
      </c>
      <c r="G32" s="4">
        <v>1</v>
      </c>
      <c r="H32" s="4">
        <v>34.950000000000003</v>
      </c>
      <c r="I32" s="4">
        <v>1</v>
      </c>
      <c r="J32" s="4">
        <v>0.67</v>
      </c>
    </row>
    <row r="33" spans="1:15" x14ac:dyDescent="0.2">
      <c r="A33" s="26" t="s">
        <v>800</v>
      </c>
      <c r="B33" s="27" t="s">
        <v>804</v>
      </c>
      <c r="C33" s="28" t="s">
        <v>803</v>
      </c>
      <c r="D33" s="4"/>
      <c r="E33" s="4"/>
      <c r="F33" s="4">
        <v>21.99</v>
      </c>
      <c r="G33" s="4">
        <v>1</v>
      </c>
      <c r="H33" s="4">
        <v>0</v>
      </c>
      <c r="I33" s="4">
        <v>0</v>
      </c>
      <c r="J33" s="4">
        <v>0.42</v>
      </c>
    </row>
    <row r="34" spans="1:15" x14ac:dyDescent="0.2">
      <c r="A34" s="26" t="s">
        <v>800</v>
      </c>
      <c r="B34" s="27" t="s">
        <v>804</v>
      </c>
      <c r="C34" s="29" t="s">
        <v>812</v>
      </c>
      <c r="D34" s="30" t="s">
        <v>810</v>
      </c>
      <c r="E34" s="28" t="s">
        <v>803</v>
      </c>
      <c r="F34" s="4">
        <v>21.67</v>
      </c>
      <c r="G34" s="4">
        <v>1</v>
      </c>
      <c r="H34" s="4">
        <v>0</v>
      </c>
      <c r="I34" s="4">
        <v>0</v>
      </c>
      <c r="J34" s="4">
        <v>0.64</v>
      </c>
    </row>
    <row r="35" spans="1:15" x14ac:dyDescent="0.2">
      <c r="A35" s="26" t="s">
        <v>809</v>
      </c>
      <c r="B35" s="27" t="s">
        <v>811</v>
      </c>
      <c r="C35" s="28" t="s">
        <v>803</v>
      </c>
      <c r="D35" s="4"/>
      <c r="E35" s="4"/>
      <c r="F35" s="4">
        <v>20.69</v>
      </c>
      <c r="G35" s="4">
        <v>1</v>
      </c>
      <c r="H35" s="4">
        <v>0</v>
      </c>
      <c r="I35" s="4">
        <v>0</v>
      </c>
      <c r="J35" s="4">
        <v>0.16</v>
      </c>
    </row>
    <row r="36" spans="1:15" x14ac:dyDescent="0.2">
      <c r="A36" s="26" t="s">
        <v>806</v>
      </c>
      <c r="B36" s="27" t="s">
        <v>811</v>
      </c>
      <c r="C36" s="28" t="s">
        <v>803</v>
      </c>
      <c r="D36" s="4"/>
      <c r="E36" s="4"/>
      <c r="F36" s="4">
        <v>18.61</v>
      </c>
      <c r="G36" s="4">
        <v>1</v>
      </c>
      <c r="H36" s="4">
        <v>18.61</v>
      </c>
      <c r="I36" s="4">
        <v>1</v>
      </c>
      <c r="J36" s="4">
        <v>0.12</v>
      </c>
    </row>
    <row r="40" spans="1:15" x14ac:dyDescent="0.2">
      <c r="A40" s="31" t="s">
        <v>797</v>
      </c>
    </row>
    <row r="41" spans="1:15" x14ac:dyDescent="0.2">
      <c r="A41" s="24" t="s">
        <v>0</v>
      </c>
      <c r="B41" s="24" t="s">
        <v>1</v>
      </c>
      <c r="C41" s="24" t="s">
        <v>2</v>
      </c>
      <c r="D41" s="24" t="s">
        <v>3</v>
      </c>
      <c r="E41" s="24" t="s">
        <v>813</v>
      </c>
      <c r="F41" s="24"/>
      <c r="G41" s="24"/>
      <c r="H41" s="24"/>
      <c r="I41" s="24"/>
      <c r="J41" s="24" t="s">
        <v>4</v>
      </c>
      <c r="K41" s="24" t="s">
        <v>5</v>
      </c>
      <c r="L41" s="24" t="s">
        <v>6</v>
      </c>
      <c r="M41" s="24" t="s">
        <v>7</v>
      </c>
      <c r="N41" s="24" t="s">
        <v>8</v>
      </c>
    </row>
    <row r="42" spans="1:15" x14ac:dyDescent="0.2">
      <c r="A42" s="25">
        <v>45641</v>
      </c>
      <c r="B42" s="25">
        <v>45672</v>
      </c>
      <c r="C42" s="4" t="s">
        <v>818</v>
      </c>
      <c r="D42" s="4" t="s">
        <v>31</v>
      </c>
      <c r="E42" s="26" t="s">
        <v>801</v>
      </c>
      <c r="F42" s="28" t="s">
        <v>803</v>
      </c>
      <c r="G42" s="4"/>
      <c r="H42" s="4"/>
      <c r="I42" s="4"/>
      <c r="J42" s="4">
        <v>89994.04</v>
      </c>
      <c r="K42" s="4">
        <v>2530</v>
      </c>
      <c r="L42" s="4">
        <v>67812.47</v>
      </c>
      <c r="M42" s="4">
        <v>1980</v>
      </c>
      <c r="N42" s="4">
        <v>49.84</v>
      </c>
      <c r="O42">
        <v>89994</v>
      </c>
    </row>
    <row r="43" spans="1:15" x14ac:dyDescent="0.2">
      <c r="A43" s="25">
        <v>45641</v>
      </c>
      <c r="B43" s="25">
        <v>45672</v>
      </c>
      <c r="C43" s="4" t="s">
        <v>818</v>
      </c>
      <c r="D43" s="4" t="s">
        <v>17</v>
      </c>
      <c r="E43" s="26" t="s">
        <v>801</v>
      </c>
      <c r="F43" s="27" t="s">
        <v>812</v>
      </c>
      <c r="G43" s="28" t="s">
        <v>803</v>
      </c>
      <c r="H43" s="4"/>
      <c r="I43" s="4"/>
      <c r="J43" s="4">
        <v>18253.14</v>
      </c>
      <c r="K43" s="4">
        <v>509</v>
      </c>
      <c r="L43" s="4">
        <v>11672.85</v>
      </c>
      <c r="M43" s="4">
        <v>303</v>
      </c>
      <c r="N43" s="4">
        <v>10.11</v>
      </c>
      <c r="O43">
        <v>9126.6</v>
      </c>
    </row>
    <row r="44" spans="1:15" x14ac:dyDescent="0.2">
      <c r="A44" s="25">
        <v>45641</v>
      </c>
      <c r="B44" s="25">
        <v>45672</v>
      </c>
      <c r="C44" s="4" t="s">
        <v>818</v>
      </c>
      <c r="D44" s="4" t="s">
        <v>13</v>
      </c>
      <c r="E44" s="26" t="s">
        <v>806</v>
      </c>
      <c r="F44" s="27" t="s">
        <v>804</v>
      </c>
      <c r="G44" s="28" t="s">
        <v>803</v>
      </c>
      <c r="H44" s="4"/>
      <c r="I44" s="4"/>
      <c r="J44" s="4">
        <v>11117.63</v>
      </c>
      <c r="K44" s="4">
        <v>301</v>
      </c>
      <c r="L44" s="4">
        <v>8354.5300000000007</v>
      </c>
      <c r="M44" s="4">
        <v>206</v>
      </c>
      <c r="N44" s="4">
        <v>6.16</v>
      </c>
      <c r="O44">
        <v>5558.8</v>
      </c>
    </row>
    <row r="45" spans="1:15" x14ac:dyDescent="0.2">
      <c r="A45" s="25">
        <v>45641</v>
      </c>
      <c r="B45" s="25">
        <v>45672</v>
      </c>
      <c r="C45" s="4" t="s">
        <v>818</v>
      </c>
      <c r="D45" s="4" t="s">
        <v>27</v>
      </c>
      <c r="E45" s="26" t="s">
        <v>801</v>
      </c>
      <c r="F45" s="27" t="s">
        <v>810</v>
      </c>
      <c r="G45" s="28" t="s">
        <v>803</v>
      </c>
      <c r="H45" s="4"/>
      <c r="I45" s="4"/>
      <c r="J45" s="4">
        <v>10536.19</v>
      </c>
      <c r="K45" s="4">
        <v>187</v>
      </c>
      <c r="L45" s="4">
        <v>7378</v>
      </c>
      <c r="M45" s="4">
        <v>112</v>
      </c>
      <c r="N45" s="4">
        <v>6.15</v>
      </c>
      <c r="O45">
        <v>5268.1</v>
      </c>
    </row>
    <row r="46" spans="1:15" x14ac:dyDescent="0.2">
      <c r="A46" s="25">
        <v>45641</v>
      </c>
      <c r="B46" s="25">
        <v>45672</v>
      </c>
      <c r="C46" s="4" t="s">
        <v>818</v>
      </c>
      <c r="D46" s="4" t="s">
        <v>24</v>
      </c>
      <c r="E46" s="26" t="s">
        <v>809</v>
      </c>
      <c r="F46" s="27" t="s">
        <v>804</v>
      </c>
      <c r="G46" s="28" t="s">
        <v>803</v>
      </c>
      <c r="H46" s="4"/>
      <c r="I46" s="4"/>
      <c r="J46" s="4">
        <v>9045.0400000000009</v>
      </c>
      <c r="K46" s="4">
        <v>164</v>
      </c>
      <c r="L46" s="4">
        <v>7377.26</v>
      </c>
      <c r="M46" s="4">
        <v>123</v>
      </c>
      <c r="N46" s="4">
        <v>5.26</v>
      </c>
      <c r="O46">
        <v>4522.5</v>
      </c>
    </row>
    <row r="47" spans="1:15" x14ac:dyDescent="0.2">
      <c r="A47" s="25">
        <v>45641</v>
      </c>
      <c r="B47" s="25">
        <v>45671</v>
      </c>
      <c r="C47" s="4" t="s">
        <v>818</v>
      </c>
      <c r="D47" s="4" t="s">
        <v>11</v>
      </c>
      <c r="E47" s="26" t="s">
        <v>809</v>
      </c>
      <c r="F47" s="27" t="s">
        <v>804</v>
      </c>
      <c r="G47" s="29" t="s">
        <v>812</v>
      </c>
      <c r="H47" s="28" t="s">
        <v>803</v>
      </c>
      <c r="I47" s="4"/>
      <c r="J47" s="4">
        <v>3629.58</v>
      </c>
      <c r="K47" s="4">
        <v>65</v>
      </c>
      <c r="L47" s="4">
        <v>2564.25</v>
      </c>
      <c r="M47" s="4">
        <v>37</v>
      </c>
      <c r="N47" s="4">
        <v>3.26</v>
      </c>
      <c r="O47">
        <v>1209.9000000000001</v>
      </c>
    </row>
    <row r="48" spans="1:15" x14ac:dyDescent="0.2">
      <c r="A48" s="25">
        <v>45641</v>
      </c>
      <c r="B48" s="25">
        <v>45672</v>
      </c>
      <c r="C48" s="4" t="s">
        <v>818</v>
      </c>
      <c r="D48" s="4" t="s">
        <v>18</v>
      </c>
      <c r="E48" s="26" t="s">
        <v>801</v>
      </c>
      <c r="F48" s="27" t="s">
        <v>810</v>
      </c>
      <c r="G48" s="29" t="s">
        <v>812</v>
      </c>
      <c r="H48" s="28" t="s">
        <v>803</v>
      </c>
      <c r="I48" s="4"/>
      <c r="J48" s="4">
        <v>3293.08</v>
      </c>
      <c r="K48" s="4">
        <v>89</v>
      </c>
      <c r="L48" s="4">
        <v>2141.8200000000002</v>
      </c>
      <c r="M48" s="4">
        <v>46</v>
      </c>
      <c r="N48" s="4">
        <v>2.08</v>
      </c>
      <c r="O48">
        <v>1097.7</v>
      </c>
    </row>
    <row r="49" spans="1:15" x14ac:dyDescent="0.2">
      <c r="A49" s="25">
        <v>45641</v>
      </c>
      <c r="B49" s="25">
        <v>45665</v>
      </c>
      <c r="C49" s="4" t="s">
        <v>818</v>
      </c>
      <c r="D49" s="4" t="s">
        <v>26</v>
      </c>
      <c r="E49" s="26" t="s">
        <v>801</v>
      </c>
      <c r="F49" s="27" t="s">
        <v>812</v>
      </c>
      <c r="G49" s="29" t="s">
        <v>810</v>
      </c>
      <c r="H49" s="28" t="s">
        <v>803</v>
      </c>
      <c r="I49" s="4"/>
      <c r="J49" s="4">
        <v>2353.8000000000002</v>
      </c>
      <c r="K49" s="4">
        <v>49</v>
      </c>
      <c r="L49" s="4">
        <v>1390.95</v>
      </c>
      <c r="M49" s="4">
        <v>26</v>
      </c>
      <c r="N49" s="4">
        <v>1.65</v>
      </c>
      <c r="O49">
        <v>784.6</v>
      </c>
    </row>
    <row r="50" spans="1:15" x14ac:dyDescent="0.2">
      <c r="A50" s="25">
        <v>45641</v>
      </c>
      <c r="B50" s="25">
        <v>45671</v>
      </c>
      <c r="C50" s="4" t="s">
        <v>818</v>
      </c>
      <c r="D50" s="4" t="s">
        <v>23</v>
      </c>
      <c r="E50" s="26" t="s">
        <v>806</v>
      </c>
      <c r="F50" s="27" t="s">
        <v>804</v>
      </c>
      <c r="G50" s="29" t="s">
        <v>810</v>
      </c>
      <c r="H50" s="28" t="s">
        <v>803</v>
      </c>
      <c r="I50" s="4"/>
      <c r="J50" s="4">
        <v>1504.33</v>
      </c>
      <c r="K50" s="4">
        <v>19</v>
      </c>
      <c r="L50" s="4">
        <v>764.24</v>
      </c>
      <c r="M50" s="4">
        <v>10</v>
      </c>
      <c r="N50" s="4">
        <v>2.42</v>
      </c>
      <c r="O50">
        <v>501.4</v>
      </c>
    </row>
    <row r="51" spans="1:15" x14ac:dyDescent="0.2">
      <c r="A51" s="25">
        <v>45646</v>
      </c>
      <c r="B51" s="25">
        <v>45665</v>
      </c>
      <c r="C51" s="4" t="s">
        <v>818</v>
      </c>
      <c r="D51" s="4" t="s">
        <v>14</v>
      </c>
      <c r="E51" s="26" t="s">
        <v>806</v>
      </c>
      <c r="F51" s="27" t="s">
        <v>810</v>
      </c>
      <c r="G51" s="29" t="s">
        <v>804</v>
      </c>
      <c r="H51" s="28" t="s">
        <v>803</v>
      </c>
      <c r="I51" s="4"/>
      <c r="J51" s="4">
        <v>686.89</v>
      </c>
      <c r="K51" s="4">
        <v>9</v>
      </c>
      <c r="L51" s="4">
        <v>198.24</v>
      </c>
      <c r="M51" s="4">
        <v>7</v>
      </c>
      <c r="N51" s="4">
        <v>1.89</v>
      </c>
      <c r="O51">
        <v>229</v>
      </c>
    </row>
    <row r="52" spans="1:15" x14ac:dyDescent="0.2">
      <c r="A52" s="25">
        <v>45642</v>
      </c>
      <c r="B52" s="25">
        <v>45668</v>
      </c>
      <c r="C52" s="4" t="s">
        <v>818</v>
      </c>
      <c r="D52" s="4" t="s">
        <v>19</v>
      </c>
      <c r="E52" s="26" t="s">
        <v>809</v>
      </c>
      <c r="F52" s="27" t="s">
        <v>812</v>
      </c>
      <c r="G52" s="29" t="s">
        <v>804</v>
      </c>
      <c r="H52" s="28" t="s">
        <v>803</v>
      </c>
      <c r="I52" s="4"/>
      <c r="J52" s="4">
        <v>537.08000000000004</v>
      </c>
      <c r="K52" s="4">
        <v>15</v>
      </c>
      <c r="L52" s="4">
        <v>336.64</v>
      </c>
      <c r="M52" s="4">
        <v>10</v>
      </c>
      <c r="N52" s="4">
        <v>0.56999999999999995</v>
      </c>
      <c r="O52">
        <v>179</v>
      </c>
    </row>
    <row r="53" spans="1:15" x14ac:dyDescent="0.2">
      <c r="A53" s="25">
        <v>45644</v>
      </c>
      <c r="B53" s="25">
        <v>45672</v>
      </c>
      <c r="C53" s="4" t="s">
        <v>818</v>
      </c>
      <c r="D53" s="4" t="s">
        <v>16</v>
      </c>
      <c r="E53" s="26" t="s">
        <v>801</v>
      </c>
      <c r="F53" s="27" t="s">
        <v>811</v>
      </c>
      <c r="G53" s="28" t="s">
        <v>803</v>
      </c>
      <c r="H53" s="4"/>
      <c r="I53" s="4"/>
      <c r="J53" s="4">
        <v>40.6</v>
      </c>
      <c r="K53" s="4">
        <v>2</v>
      </c>
      <c r="L53" s="4">
        <v>40.6</v>
      </c>
      <c r="M53" s="4">
        <v>2</v>
      </c>
      <c r="N53" s="4">
        <v>0.23</v>
      </c>
      <c r="O53">
        <v>20.3</v>
      </c>
    </row>
    <row r="54" spans="1:15" x14ac:dyDescent="0.2">
      <c r="A54" s="25">
        <v>45649</v>
      </c>
      <c r="B54" s="25">
        <v>45649</v>
      </c>
      <c r="C54" s="4" t="s">
        <v>818</v>
      </c>
      <c r="D54" s="4" t="s">
        <v>29</v>
      </c>
      <c r="E54" s="26" t="s">
        <v>801</v>
      </c>
      <c r="F54" s="27" t="s">
        <v>811</v>
      </c>
      <c r="G54" s="29" t="s">
        <v>812</v>
      </c>
      <c r="H54" s="28" t="s">
        <v>803</v>
      </c>
      <c r="I54" s="4"/>
      <c r="J54" s="4">
        <v>34.950000000000003</v>
      </c>
      <c r="K54" s="4">
        <v>1</v>
      </c>
      <c r="L54" s="4">
        <v>34.950000000000003</v>
      </c>
      <c r="M54" s="4">
        <v>1</v>
      </c>
      <c r="N54" s="4">
        <v>0.67</v>
      </c>
      <c r="O54">
        <v>11.6</v>
      </c>
    </row>
    <row r="55" spans="1:15" x14ac:dyDescent="0.2">
      <c r="A55" s="25">
        <v>45649</v>
      </c>
      <c r="B55" s="25">
        <v>45649</v>
      </c>
      <c r="C55" s="4" t="s">
        <v>818</v>
      </c>
      <c r="D55" s="4" t="s">
        <v>10</v>
      </c>
      <c r="E55" s="26" t="s">
        <v>800</v>
      </c>
      <c r="F55" s="27" t="s">
        <v>804</v>
      </c>
      <c r="G55" s="28" t="s">
        <v>803</v>
      </c>
      <c r="H55" s="4"/>
      <c r="I55" s="4"/>
      <c r="J55" s="4">
        <v>21.99</v>
      </c>
      <c r="K55" s="4">
        <v>1</v>
      </c>
      <c r="L55" s="4">
        <v>0</v>
      </c>
      <c r="M55" s="4">
        <v>0</v>
      </c>
      <c r="N55" s="4">
        <v>0.42</v>
      </c>
      <c r="O55">
        <v>11</v>
      </c>
    </row>
    <row r="56" spans="1:15" x14ac:dyDescent="0.2">
      <c r="A56" s="25">
        <v>45655</v>
      </c>
      <c r="B56" s="25">
        <v>45655</v>
      </c>
      <c r="C56" s="4" t="s">
        <v>818</v>
      </c>
      <c r="D56" s="4" t="s">
        <v>21</v>
      </c>
      <c r="E56" s="26" t="s">
        <v>800</v>
      </c>
      <c r="F56" s="27" t="s">
        <v>804</v>
      </c>
      <c r="G56" s="29" t="s">
        <v>812</v>
      </c>
      <c r="H56" s="30" t="s">
        <v>810</v>
      </c>
      <c r="I56" s="28" t="s">
        <v>803</v>
      </c>
      <c r="J56" s="4">
        <v>21.67</v>
      </c>
      <c r="K56" s="4">
        <v>1</v>
      </c>
      <c r="L56" s="4">
        <v>0</v>
      </c>
      <c r="M56" s="4">
        <v>0</v>
      </c>
      <c r="N56" s="4">
        <v>0.64</v>
      </c>
      <c r="O56">
        <v>5.4</v>
      </c>
    </row>
    <row r="60" spans="1:15" x14ac:dyDescent="0.2">
      <c r="A60" s="31" t="s">
        <v>814</v>
      </c>
    </row>
    <row r="61" spans="1:15" x14ac:dyDescent="0.2">
      <c r="A61" s="24" t="s">
        <v>0</v>
      </c>
      <c r="B61" s="24" t="s">
        <v>1</v>
      </c>
      <c r="C61" s="24" t="s">
        <v>2</v>
      </c>
      <c r="D61" s="24" t="s">
        <v>3</v>
      </c>
      <c r="E61" s="24" t="s">
        <v>813</v>
      </c>
      <c r="F61" s="24"/>
      <c r="G61" s="24"/>
      <c r="H61" s="24"/>
      <c r="I61" s="24"/>
      <c r="J61" s="24" t="s">
        <v>4</v>
      </c>
      <c r="K61" s="24" t="s">
        <v>5</v>
      </c>
      <c r="L61" s="24" t="s">
        <v>6</v>
      </c>
      <c r="M61" s="24" t="s">
        <v>7</v>
      </c>
      <c r="N61" s="24" t="s">
        <v>8</v>
      </c>
    </row>
    <row r="62" spans="1:15" x14ac:dyDescent="0.2">
      <c r="A62" s="25">
        <v>45641</v>
      </c>
      <c r="B62" s="25">
        <v>45672</v>
      </c>
      <c r="C62" s="4" t="s">
        <v>818</v>
      </c>
      <c r="D62" s="4" t="s">
        <v>17</v>
      </c>
      <c r="E62" s="26" t="s">
        <v>801</v>
      </c>
      <c r="F62" s="27" t="s">
        <v>812</v>
      </c>
      <c r="G62" s="28" t="s">
        <v>803</v>
      </c>
      <c r="H62" s="4"/>
      <c r="I62" s="4"/>
      <c r="J62" s="4">
        <v>18253.14</v>
      </c>
      <c r="K62" s="4">
        <v>509</v>
      </c>
      <c r="L62" s="4">
        <v>11672.85</v>
      </c>
      <c r="M62" s="4">
        <v>303</v>
      </c>
      <c r="N62" s="4">
        <v>10.11</v>
      </c>
      <c r="O62">
        <v>9126.6</v>
      </c>
    </row>
    <row r="63" spans="1:15" x14ac:dyDescent="0.2">
      <c r="A63" s="25">
        <v>45641</v>
      </c>
      <c r="B63" s="25">
        <v>45672</v>
      </c>
      <c r="C63" s="4" t="s">
        <v>818</v>
      </c>
      <c r="D63" s="4" t="s">
        <v>13</v>
      </c>
      <c r="E63" s="26" t="s">
        <v>806</v>
      </c>
      <c r="F63" s="27" t="s">
        <v>804</v>
      </c>
      <c r="G63" s="28" t="s">
        <v>803</v>
      </c>
      <c r="H63" s="4"/>
      <c r="I63" s="4"/>
      <c r="J63" s="4">
        <v>11117.63</v>
      </c>
      <c r="K63" s="4">
        <v>301</v>
      </c>
      <c r="L63" s="4">
        <v>8354.5300000000007</v>
      </c>
      <c r="M63" s="4">
        <v>206</v>
      </c>
      <c r="N63" s="4">
        <v>6.16</v>
      </c>
      <c r="O63">
        <v>5558.8</v>
      </c>
    </row>
    <row r="64" spans="1:15" x14ac:dyDescent="0.2">
      <c r="A64" s="25">
        <v>45641</v>
      </c>
      <c r="B64" s="25">
        <v>45672</v>
      </c>
      <c r="C64" s="4" t="s">
        <v>818</v>
      </c>
      <c r="D64" s="4" t="s">
        <v>25</v>
      </c>
      <c r="E64" s="26" t="s">
        <v>806</v>
      </c>
      <c r="F64" s="28" t="s">
        <v>803</v>
      </c>
      <c r="G64" s="4"/>
      <c r="H64" s="4"/>
      <c r="I64" s="4"/>
      <c r="J64" s="4">
        <v>2091</v>
      </c>
      <c r="K64" s="4">
        <v>394</v>
      </c>
      <c r="L64" s="4">
        <v>4571</v>
      </c>
      <c r="M64" s="4">
        <v>336</v>
      </c>
      <c r="N64" s="4">
        <v>10.029999999999999</v>
      </c>
      <c r="O64">
        <v>2091</v>
      </c>
    </row>
    <row r="65" spans="1:15" x14ac:dyDescent="0.2">
      <c r="A65" s="25">
        <v>45641</v>
      </c>
      <c r="B65" s="25">
        <v>45671</v>
      </c>
      <c r="C65" s="4" t="s">
        <v>818</v>
      </c>
      <c r="D65" s="4" t="s">
        <v>11</v>
      </c>
      <c r="E65" s="26" t="s">
        <v>809</v>
      </c>
      <c r="F65" s="27" t="s">
        <v>804</v>
      </c>
      <c r="G65" s="29" t="s">
        <v>812</v>
      </c>
      <c r="H65" s="28" t="s">
        <v>803</v>
      </c>
      <c r="I65" s="4"/>
      <c r="J65" s="4">
        <v>3629.58</v>
      </c>
      <c r="K65" s="4">
        <v>65</v>
      </c>
      <c r="L65" s="4">
        <v>2564.25</v>
      </c>
      <c r="M65" s="4">
        <v>37</v>
      </c>
      <c r="N65" s="4">
        <v>3.26</v>
      </c>
      <c r="O65">
        <v>1209.9000000000001</v>
      </c>
    </row>
    <row r="66" spans="1:15" x14ac:dyDescent="0.2">
      <c r="A66" s="25">
        <v>45641</v>
      </c>
      <c r="B66" s="25">
        <v>45672</v>
      </c>
      <c r="C66" s="4" t="s">
        <v>818</v>
      </c>
      <c r="D66" s="4" t="s">
        <v>18</v>
      </c>
      <c r="E66" s="26" t="s">
        <v>801</v>
      </c>
      <c r="F66" s="27" t="s">
        <v>810</v>
      </c>
      <c r="G66" s="29" t="s">
        <v>812</v>
      </c>
      <c r="H66" s="28" t="s">
        <v>803</v>
      </c>
      <c r="I66" s="4"/>
      <c r="J66" s="4">
        <v>3293.08</v>
      </c>
      <c r="K66" s="4">
        <v>89</v>
      </c>
      <c r="L66" s="4">
        <v>2141.8200000000002</v>
      </c>
      <c r="M66" s="4">
        <v>46</v>
      </c>
      <c r="N66" s="4">
        <v>2.08</v>
      </c>
      <c r="O66">
        <v>1097.7</v>
      </c>
    </row>
    <row r="67" spans="1:15" x14ac:dyDescent="0.2">
      <c r="A67" s="25">
        <v>45641</v>
      </c>
      <c r="B67" s="25">
        <v>45665</v>
      </c>
      <c r="C67" s="4" t="s">
        <v>818</v>
      </c>
      <c r="D67" s="4" t="s">
        <v>26</v>
      </c>
      <c r="E67" s="26" t="s">
        <v>801</v>
      </c>
      <c r="F67" s="27" t="s">
        <v>812</v>
      </c>
      <c r="G67" s="29" t="s">
        <v>810</v>
      </c>
      <c r="H67" s="28" t="s">
        <v>803</v>
      </c>
      <c r="I67" s="4"/>
      <c r="J67" s="4">
        <v>2353.8000000000002</v>
      </c>
      <c r="K67" s="4">
        <v>49</v>
      </c>
      <c r="L67" s="4">
        <v>1390.95</v>
      </c>
      <c r="M67" s="4">
        <v>26</v>
      </c>
      <c r="N67" s="4">
        <v>1.65</v>
      </c>
      <c r="O67">
        <v>784.6</v>
      </c>
    </row>
    <row r="68" spans="1:15" x14ac:dyDescent="0.2">
      <c r="A68" s="25">
        <v>45641</v>
      </c>
      <c r="B68" s="25">
        <v>45671</v>
      </c>
      <c r="C68" s="4" t="s">
        <v>818</v>
      </c>
      <c r="D68" s="4" t="s">
        <v>23</v>
      </c>
      <c r="E68" s="26" t="s">
        <v>806</v>
      </c>
      <c r="F68" s="27" t="s">
        <v>804</v>
      </c>
      <c r="G68" s="29" t="s">
        <v>810</v>
      </c>
      <c r="H68" s="28" t="s">
        <v>803</v>
      </c>
      <c r="I68" s="4"/>
      <c r="J68" s="4">
        <v>1504.33</v>
      </c>
      <c r="K68" s="4">
        <v>19</v>
      </c>
      <c r="L68" s="4">
        <v>764.24</v>
      </c>
      <c r="M68" s="4">
        <v>10</v>
      </c>
      <c r="N68" s="4">
        <v>2.42</v>
      </c>
      <c r="O68">
        <v>501.4</v>
      </c>
    </row>
    <row r="69" spans="1:15" x14ac:dyDescent="0.2">
      <c r="A69" s="25">
        <v>45641</v>
      </c>
      <c r="B69" s="25">
        <v>45672</v>
      </c>
      <c r="C69" s="4" t="s">
        <v>818</v>
      </c>
      <c r="D69" s="4" t="s">
        <v>20</v>
      </c>
      <c r="E69" s="26" t="s">
        <v>809</v>
      </c>
      <c r="F69" s="27" t="s">
        <v>812</v>
      </c>
      <c r="G69" s="28" t="s">
        <v>803</v>
      </c>
      <c r="H69" s="4"/>
      <c r="I69" s="4"/>
      <c r="J69" s="4">
        <v>1472.63</v>
      </c>
      <c r="K69" s="4">
        <v>33</v>
      </c>
      <c r="L69" s="4">
        <v>1320.79</v>
      </c>
      <c r="M69" s="4">
        <v>26</v>
      </c>
      <c r="N69" s="4">
        <v>1.37</v>
      </c>
      <c r="O69">
        <v>736.3</v>
      </c>
    </row>
    <row r="70" spans="1:15" x14ac:dyDescent="0.2">
      <c r="A70" s="25">
        <v>45641</v>
      </c>
      <c r="B70" s="25">
        <v>45669</v>
      </c>
      <c r="C70" s="4" t="s">
        <v>818</v>
      </c>
      <c r="D70" s="4" t="s">
        <v>30</v>
      </c>
      <c r="E70" s="26" t="s">
        <v>806</v>
      </c>
      <c r="F70" s="27" t="s">
        <v>810</v>
      </c>
      <c r="G70" s="28" t="s">
        <v>803</v>
      </c>
      <c r="H70" s="4"/>
      <c r="I70" s="4"/>
      <c r="J70" s="4">
        <v>1434.26</v>
      </c>
      <c r="K70" s="4">
        <v>22</v>
      </c>
      <c r="L70" s="4">
        <v>1108.33</v>
      </c>
      <c r="M70" s="4">
        <v>12</v>
      </c>
      <c r="N70" s="4">
        <v>1.44</v>
      </c>
      <c r="O70">
        <v>717.1</v>
      </c>
    </row>
    <row r="71" spans="1:15" x14ac:dyDescent="0.2">
      <c r="A71" s="25">
        <v>45646</v>
      </c>
      <c r="B71" s="25">
        <v>45665</v>
      </c>
      <c r="C71" s="4" t="s">
        <v>818</v>
      </c>
      <c r="D71" s="4" t="s">
        <v>14</v>
      </c>
      <c r="E71" s="26" t="s">
        <v>806</v>
      </c>
      <c r="F71" s="27" t="s">
        <v>810</v>
      </c>
      <c r="G71" s="29" t="s">
        <v>804</v>
      </c>
      <c r="H71" s="28" t="s">
        <v>803</v>
      </c>
      <c r="I71" s="4"/>
      <c r="J71" s="4">
        <v>686.89</v>
      </c>
      <c r="K71" s="4">
        <v>9</v>
      </c>
      <c r="L71" s="4">
        <v>198.24</v>
      </c>
      <c r="M71" s="4">
        <v>7</v>
      </c>
      <c r="N71" s="4">
        <v>1.89</v>
      </c>
      <c r="O71">
        <v>229</v>
      </c>
    </row>
    <row r="72" spans="1:15" x14ac:dyDescent="0.2">
      <c r="A72" s="25">
        <v>45642</v>
      </c>
      <c r="B72" s="25">
        <v>45668</v>
      </c>
      <c r="C72" s="4" t="s">
        <v>818</v>
      </c>
      <c r="D72" s="4" t="s">
        <v>19</v>
      </c>
      <c r="E72" s="26" t="s">
        <v>809</v>
      </c>
      <c r="F72" s="27" t="s">
        <v>812</v>
      </c>
      <c r="G72" s="29" t="s">
        <v>804</v>
      </c>
      <c r="H72" s="28" t="s">
        <v>803</v>
      </c>
      <c r="I72" s="4"/>
      <c r="J72" s="4">
        <v>537.08000000000004</v>
      </c>
      <c r="K72" s="4">
        <v>15</v>
      </c>
      <c r="L72" s="4">
        <v>336.64</v>
      </c>
      <c r="M72" s="4">
        <v>10</v>
      </c>
      <c r="N72" s="4">
        <v>0.56999999999999995</v>
      </c>
      <c r="O72">
        <v>179</v>
      </c>
    </row>
    <row r="73" spans="1:15" x14ac:dyDescent="0.2">
      <c r="A73" s="25">
        <v>45649</v>
      </c>
      <c r="B73" s="25">
        <v>45649</v>
      </c>
      <c r="C73" s="4" t="s">
        <v>818</v>
      </c>
      <c r="D73" s="4" t="s">
        <v>29</v>
      </c>
      <c r="E73" s="26" t="s">
        <v>801</v>
      </c>
      <c r="F73" s="27" t="s">
        <v>811</v>
      </c>
      <c r="G73" s="29" t="s">
        <v>812</v>
      </c>
      <c r="H73" s="28" t="s">
        <v>803</v>
      </c>
      <c r="I73" s="4"/>
      <c r="J73" s="4">
        <v>34.950000000000003</v>
      </c>
      <c r="K73" s="4">
        <v>1</v>
      </c>
      <c r="L73" s="4">
        <v>34.950000000000003</v>
      </c>
      <c r="M73" s="4">
        <v>1</v>
      </c>
      <c r="N73" s="4">
        <v>0.67</v>
      </c>
      <c r="O73">
        <v>11.6</v>
      </c>
    </row>
    <row r="74" spans="1:15" x14ac:dyDescent="0.2">
      <c r="A74" s="25">
        <v>45655</v>
      </c>
      <c r="B74" s="25">
        <v>45655</v>
      </c>
      <c r="C74" s="4" t="s">
        <v>818</v>
      </c>
      <c r="D74" s="4" t="s">
        <v>21</v>
      </c>
      <c r="E74" s="26" t="s">
        <v>800</v>
      </c>
      <c r="F74" s="27" t="s">
        <v>804</v>
      </c>
      <c r="G74" s="29" t="s">
        <v>812</v>
      </c>
      <c r="H74" s="30" t="s">
        <v>810</v>
      </c>
      <c r="I74" s="28" t="s">
        <v>803</v>
      </c>
      <c r="J74" s="4">
        <v>21.67</v>
      </c>
      <c r="K74" s="4">
        <v>1</v>
      </c>
      <c r="L74" s="4">
        <v>0</v>
      </c>
      <c r="M74" s="4">
        <v>0</v>
      </c>
      <c r="N74" s="4">
        <v>0.64</v>
      </c>
      <c r="O74">
        <v>5.4</v>
      </c>
    </row>
    <row r="75" spans="1:15" x14ac:dyDescent="0.2">
      <c r="A75" s="25">
        <v>45644</v>
      </c>
      <c r="B75" s="25">
        <v>45644</v>
      </c>
      <c r="C75" s="4" t="s">
        <v>818</v>
      </c>
      <c r="D75" s="4" t="s">
        <v>28</v>
      </c>
      <c r="E75" s="26" t="s">
        <v>806</v>
      </c>
      <c r="F75" s="27" t="s">
        <v>811</v>
      </c>
      <c r="G75" s="28" t="s">
        <v>803</v>
      </c>
      <c r="H75" s="4"/>
      <c r="I75" s="4"/>
      <c r="J75" s="4">
        <v>18.61</v>
      </c>
      <c r="K75" s="4">
        <v>1</v>
      </c>
      <c r="L75" s="4">
        <v>18.61</v>
      </c>
      <c r="M75" s="4">
        <v>1</v>
      </c>
      <c r="N75" s="4">
        <v>0.12</v>
      </c>
      <c r="O75">
        <v>9.3000000000000007</v>
      </c>
    </row>
    <row r="79" spans="1:15" x14ac:dyDescent="0.2">
      <c r="A79" s="31" t="s">
        <v>816</v>
      </c>
    </row>
    <row r="80" spans="1:15" x14ac:dyDescent="0.2">
      <c r="A80" s="24" t="s">
        <v>0</v>
      </c>
      <c r="B80" s="24" t="s">
        <v>1</v>
      </c>
      <c r="C80" s="24" t="s">
        <v>2</v>
      </c>
      <c r="D80" s="24" t="s">
        <v>3</v>
      </c>
      <c r="E80" s="24" t="s">
        <v>813</v>
      </c>
      <c r="F80" s="24"/>
      <c r="G80" s="24"/>
      <c r="H80" s="24"/>
      <c r="I80" s="24"/>
      <c r="J80" s="24" t="s">
        <v>4</v>
      </c>
      <c r="K80" s="24" t="s">
        <v>5</v>
      </c>
      <c r="L80" s="24" t="s">
        <v>6</v>
      </c>
      <c r="M80" s="24" t="s">
        <v>7</v>
      </c>
      <c r="N80" s="24" t="s">
        <v>8</v>
      </c>
    </row>
    <row r="81" spans="1:15" x14ac:dyDescent="0.2">
      <c r="A81" s="25">
        <v>45641</v>
      </c>
      <c r="B81" s="25">
        <v>45672</v>
      </c>
      <c r="C81" s="4" t="s">
        <v>818</v>
      </c>
      <c r="D81" s="4" t="s">
        <v>27</v>
      </c>
      <c r="E81" s="26" t="s">
        <v>801</v>
      </c>
      <c r="F81" s="27" t="s">
        <v>810</v>
      </c>
      <c r="G81" s="28" t="s">
        <v>803</v>
      </c>
      <c r="H81" s="4"/>
      <c r="I81" s="4"/>
      <c r="J81" s="4">
        <v>10536.19</v>
      </c>
      <c r="K81" s="4">
        <v>187</v>
      </c>
      <c r="L81" s="4">
        <v>7378</v>
      </c>
      <c r="M81" s="4">
        <v>112</v>
      </c>
      <c r="N81" s="4">
        <v>6.15</v>
      </c>
      <c r="O81">
        <v>5268.1</v>
      </c>
    </row>
    <row r="82" spans="1:15" x14ac:dyDescent="0.2">
      <c r="A82" s="25">
        <v>45641</v>
      </c>
      <c r="B82" s="25">
        <v>45672</v>
      </c>
      <c r="C82" s="4" t="s">
        <v>818</v>
      </c>
      <c r="D82" s="4" t="s">
        <v>24</v>
      </c>
      <c r="E82" s="26" t="s">
        <v>809</v>
      </c>
      <c r="F82" s="27" t="s">
        <v>804</v>
      </c>
      <c r="G82" s="28" t="s">
        <v>803</v>
      </c>
      <c r="H82" s="4"/>
      <c r="I82" s="4"/>
      <c r="J82" s="4">
        <v>9045.0400000000009</v>
      </c>
      <c r="K82" s="4">
        <v>164</v>
      </c>
      <c r="L82" s="4">
        <v>7377.26</v>
      </c>
      <c r="M82" s="4">
        <v>123</v>
      </c>
      <c r="N82" s="4">
        <v>5.26</v>
      </c>
      <c r="O82">
        <v>4522.5</v>
      </c>
    </row>
    <row r="83" spans="1:15" x14ac:dyDescent="0.2">
      <c r="A83" s="25">
        <v>45641</v>
      </c>
      <c r="B83" s="25">
        <v>45672</v>
      </c>
      <c r="C83" s="4" t="s">
        <v>818</v>
      </c>
      <c r="D83" s="4" t="s">
        <v>12</v>
      </c>
      <c r="E83" s="26" t="s">
        <v>809</v>
      </c>
      <c r="F83" s="28" t="s">
        <v>803</v>
      </c>
      <c r="G83" s="4"/>
      <c r="H83" s="4"/>
      <c r="I83" s="4"/>
      <c r="J83" s="4">
        <v>8316.74</v>
      </c>
      <c r="K83" s="4">
        <v>201</v>
      </c>
      <c r="L83" s="4">
        <v>7212.94</v>
      </c>
      <c r="M83" s="4">
        <v>173</v>
      </c>
      <c r="N83" s="4">
        <v>4.6100000000000003</v>
      </c>
      <c r="O83">
        <v>8316.7000000000007</v>
      </c>
    </row>
    <row r="84" spans="1:15" x14ac:dyDescent="0.2">
      <c r="A84" s="25">
        <v>45641</v>
      </c>
      <c r="B84" s="25">
        <v>45671</v>
      </c>
      <c r="C84" s="4" t="s">
        <v>818</v>
      </c>
      <c r="D84" s="4" t="s">
        <v>11</v>
      </c>
      <c r="E84" s="26" t="s">
        <v>809</v>
      </c>
      <c r="F84" s="27" t="s">
        <v>804</v>
      </c>
      <c r="G84" s="29" t="s">
        <v>812</v>
      </c>
      <c r="H84" s="28" t="s">
        <v>803</v>
      </c>
      <c r="I84" s="4"/>
      <c r="J84" s="4">
        <v>3629.58</v>
      </c>
      <c r="K84" s="4">
        <v>65</v>
      </c>
      <c r="L84" s="4">
        <v>2564.25</v>
      </c>
      <c r="M84" s="4">
        <v>37</v>
      </c>
      <c r="N84" s="4">
        <v>3.26</v>
      </c>
      <c r="O84">
        <v>1209.9000000000001</v>
      </c>
    </row>
    <row r="85" spans="1:15" x14ac:dyDescent="0.2">
      <c r="A85" s="25">
        <v>45641</v>
      </c>
      <c r="B85" s="25">
        <v>45672</v>
      </c>
      <c r="C85" s="4" t="s">
        <v>818</v>
      </c>
      <c r="D85" s="4" t="s">
        <v>18</v>
      </c>
      <c r="E85" s="26" t="s">
        <v>801</v>
      </c>
      <c r="F85" s="27" t="s">
        <v>810</v>
      </c>
      <c r="G85" s="29" t="s">
        <v>812</v>
      </c>
      <c r="H85" s="28" t="s">
        <v>803</v>
      </c>
      <c r="I85" s="4"/>
      <c r="J85" s="4">
        <v>3293.08</v>
      </c>
      <c r="K85" s="4">
        <v>89</v>
      </c>
      <c r="L85" s="4">
        <v>2141.8200000000002</v>
      </c>
      <c r="M85" s="4">
        <v>46</v>
      </c>
      <c r="N85" s="4">
        <v>2.08</v>
      </c>
      <c r="O85">
        <v>1097.7</v>
      </c>
    </row>
    <row r="86" spans="1:15" x14ac:dyDescent="0.2">
      <c r="A86" s="25">
        <v>45641</v>
      </c>
      <c r="B86" s="25">
        <v>45665</v>
      </c>
      <c r="C86" s="4" t="s">
        <v>818</v>
      </c>
      <c r="D86" s="4" t="s">
        <v>26</v>
      </c>
      <c r="E86" s="26" t="s">
        <v>801</v>
      </c>
      <c r="F86" s="27" t="s">
        <v>812</v>
      </c>
      <c r="G86" s="29" t="s">
        <v>810</v>
      </c>
      <c r="H86" s="28" t="s">
        <v>803</v>
      </c>
      <c r="I86" s="4"/>
      <c r="J86" s="4">
        <v>2353.8000000000002</v>
      </c>
      <c r="K86" s="4">
        <v>49</v>
      </c>
      <c r="L86" s="4">
        <v>1390.95</v>
      </c>
      <c r="M86" s="4">
        <v>26</v>
      </c>
      <c r="N86" s="4">
        <v>1.65</v>
      </c>
      <c r="O86">
        <v>784.6</v>
      </c>
    </row>
    <row r="87" spans="1:15" x14ac:dyDescent="0.2">
      <c r="A87" s="25">
        <v>45641</v>
      </c>
      <c r="B87" s="25">
        <v>45671</v>
      </c>
      <c r="C87" s="4" t="s">
        <v>818</v>
      </c>
      <c r="D87" s="4" t="s">
        <v>23</v>
      </c>
      <c r="E87" s="26" t="s">
        <v>806</v>
      </c>
      <c r="F87" s="27" t="s">
        <v>804</v>
      </c>
      <c r="G87" s="29" t="s">
        <v>810</v>
      </c>
      <c r="H87" s="28" t="s">
        <v>803</v>
      </c>
      <c r="I87" s="4"/>
      <c r="J87" s="4">
        <v>1504.33</v>
      </c>
      <c r="K87" s="4">
        <v>19</v>
      </c>
      <c r="L87" s="4">
        <v>764.24</v>
      </c>
      <c r="M87" s="4">
        <v>10</v>
      </c>
      <c r="N87" s="4">
        <v>2.42</v>
      </c>
      <c r="O87">
        <v>501.4</v>
      </c>
    </row>
    <row r="88" spans="1:15" x14ac:dyDescent="0.2">
      <c r="A88" s="25">
        <v>45641</v>
      </c>
      <c r="B88" s="25">
        <v>45672</v>
      </c>
      <c r="C88" s="4" t="s">
        <v>818</v>
      </c>
      <c r="D88" s="4" t="s">
        <v>20</v>
      </c>
      <c r="E88" s="26" t="s">
        <v>809</v>
      </c>
      <c r="F88" s="27" t="s">
        <v>812</v>
      </c>
      <c r="G88" s="28" t="s">
        <v>803</v>
      </c>
      <c r="H88" s="4"/>
      <c r="I88" s="4"/>
      <c r="J88" s="4">
        <v>1472.63</v>
      </c>
      <c r="K88" s="4">
        <v>33</v>
      </c>
      <c r="L88" s="4">
        <v>1320.79</v>
      </c>
      <c r="M88" s="4">
        <v>26</v>
      </c>
      <c r="N88" s="4">
        <v>1.37</v>
      </c>
      <c r="O88">
        <v>736.3</v>
      </c>
    </row>
    <row r="89" spans="1:15" x14ac:dyDescent="0.2">
      <c r="A89" s="25">
        <v>45641</v>
      </c>
      <c r="B89" s="25">
        <v>45669</v>
      </c>
      <c r="C89" s="4" t="s">
        <v>818</v>
      </c>
      <c r="D89" s="4" t="s">
        <v>30</v>
      </c>
      <c r="E89" s="26" t="s">
        <v>806</v>
      </c>
      <c r="F89" s="27" t="s">
        <v>810</v>
      </c>
      <c r="G89" s="28" t="s">
        <v>803</v>
      </c>
      <c r="H89" s="4"/>
      <c r="I89" s="4"/>
      <c r="J89" s="4">
        <v>1434.26</v>
      </c>
      <c r="K89" s="4">
        <v>22</v>
      </c>
      <c r="L89" s="4">
        <v>1108.33</v>
      </c>
      <c r="M89" s="4">
        <v>12</v>
      </c>
      <c r="N89" s="4">
        <v>1.44</v>
      </c>
      <c r="O89">
        <v>717.1</v>
      </c>
    </row>
    <row r="90" spans="1:15" x14ac:dyDescent="0.2">
      <c r="A90" s="25">
        <v>45646</v>
      </c>
      <c r="B90" s="25">
        <v>45665</v>
      </c>
      <c r="C90" s="4" t="s">
        <v>818</v>
      </c>
      <c r="D90" s="4" t="s">
        <v>14</v>
      </c>
      <c r="E90" s="26" t="s">
        <v>806</v>
      </c>
      <c r="F90" s="27" t="s">
        <v>810</v>
      </c>
      <c r="G90" s="29" t="s">
        <v>804</v>
      </c>
      <c r="H90" s="28" t="s">
        <v>803</v>
      </c>
      <c r="I90" s="4"/>
      <c r="J90" s="4">
        <v>686.89</v>
      </c>
      <c r="K90" s="4">
        <v>9</v>
      </c>
      <c r="L90" s="4">
        <v>198.24</v>
      </c>
      <c r="M90" s="4">
        <v>7</v>
      </c>
      <c r="N90" s="4">
        <v>1.89</v>
      </c>
      <c r="O90">
        <v>229</v>
      </c>
    </row>
    <row r="91" spans="1:15" x14ac:dyDescent="0.2">
      <c r="A91" s="25">
        <v>45642</v>
      </c>
      <c r="B91" s="25">
        <v>45668</v>
      </c>
      <c r="C91" s="4" t="s">
        <v>818</v>
      </c>
      <c r="D91" s="4" t="s">
        <v>19</v>
      </c>
      <c r="E91" s="26" t="s">
        <v>809</v>
      </c>
      <c r="F91" s="27" t="s">
        <v>812</v>
      </c>
      <c r="G91" s="29" t="s">
        <v>804</v>
      </c>
      <c r="H91" s="28" t="s">
        <v>803</v>
      </c>
      <c r="I91" s="4"/>
      <c r="J91" s="4">
        <v>537.08000000000004</v>
      </c>
      <c r="K91" s="4">
        <v>15</v>
      </c>
      <c r="L91" s="4">
        <v>336.64</v>
      </c>
      <c r="M91" s="4">
        <v>10</v>
      </c>
      <c r="N91" s="4">
        <v>0.56999999999999995</v>
      </c>
      <c r="O91">
        <v>179</v>
      </c>
    </row>
    <row r="92" spans="1:15" x14ac:dyDescent="0.2">
      <c r="A92" s="25">
        <v>45655</v>
      </c>
      <c r="B92" s="25">
        <v>45655</v>
      </c>
      <c r="C92" s="4" t="s">
        <v>818</v>
      </c>
      <c r="D92" s="4" t="s">
        <v>21</v>
      </c>
      <c r="E92" s="26" t="s">
        <v>800</v>
      </c>
      <c r="F92" s="27" t="s">
        <v>804</v>
      </c>
      <c r="G92" s="29" t="s">
        <v>812</v>
      </c>
      <c r="H92" s="30" t="s">
        <v>810</v>
      </c>
      <c r="I92" s="28" t="s">
        <v>803</v>
      </c>
      <c r="J92" s="4">
        <v>21.67</v>
      </c>
      <c r="K92" s="4">
        <v>1</v>
      </c>
      <c r="L92" s="4">
        <v>0</v>
      </c>
      <c r="M92" s="4">
        <v>0</v>
      </c>
      <c r="N92" s="4">
        <v>0.64</v>
      </c>
      <c r="O92">
        <v>5.4</v>
      </c>
    </row>
    <row r="93" spans="1:15" x14ac:dyDescent="0.2">
      <c r="A93" s="25">
        <v>45647</v>
      </c>
      <c r="B93" s="25">
        <v>45647</v>
      </c>
      <c r="C93" s="4" t="s">
        <v>818</v>
      </c>
      <c r="D93" s="4" t="s">
        <v>15</v>
      </c>
      <c r="E93" s="26" t="s">
        <v>809</v>
      </c>
      <c r="F93" s="27" t="s">
        <v>811</v>
      </c>
      <c r="G93" s="28" t="s">
        <v>803</v>
      </c>
      <c r="H93" s="4"/>
      <c r="I93" s="4"/>
      <c r="J93" s="4">
        <v>20.69</v>
      </c>
      <c r="K93" s="4">
        <v>1</v>
      </c>
      <c r="L93" s="4">
        <v>0</v>
      </c>
      <c r="M93" s="4">
        <v>0</v>
      </c>
      <c r="N93" s="4">
        <v>0.16</v>
      </c>
      <c r="O93">
        <v>10.3</v>
      </c>
    </row>
    <row r="97" spans="1:15" x14ac:dyDescent="0.2">
      <c r="A97" s="31" t="s">
        <v>817</v>
      </c>
    </row>
    <row r="98" spans="1:15" x14ac:dyDescent="0.2">
      <c r="A98" s="24" t="s">
        <v>0</v>
      </c>
      <c r="B98" s="24" t="s">
        <v>1</v>
      </c>
      <c r="C98" s="24" t="s">
        <v>2</v>
      </c>
      <c r="D98" s="24" t="s">
        <v>3</v>
      </c>
      <c r="E98" s="24" t="s">
        <v>813</v>
      </c>
      <c r="F98" s="24"/>
      <c r="G98" s="24"/>
      <c r="H98" s="24"/>
      <c r="I98" s="24"/>
      <c r="J98" s="24" t="s">
        <v>4</v>
      </c>
      <c r="K98" s="24" t="s">
        <v>5</v>
      </c>
      <c r="L98" s="24" t="s">
        <v>6</v>
      </c>
      <c r="M98" s="24" t="s">
        <v>7</v>
      </c>
      <c r="N98" s="24" t="s">
        <v>8</v>
      </c>
    </row>
    <row r="99" spans="1:15" x14ac:dyDescent="0.2">
      <c r="A99" s="25">
        <v>45643</v>
      </c>
      <c r="B99" s="25">
        <v>45662</v>
      </c>
      <c r="C99" s="4" t="s">
        <v>818</v>
      </c>
      <c r="D99" s="4" t="s">
        <v>22</v>
      </c>
      <c r="E99" s="26" t="s">
        <v>800</v>
      </c>
      <c r="F99" s="28" t="s">
        <v>803</v>
      </c>
      <c r="G99" s="4"/>
      <c r="H99" s="4"/>
      <c r="I99" s="4"/>
      <c r="J99" s="4">
        <v>137.04</v>
      </c>
      <c r="K99" s="4">
        <v>6</v>
      </c>
      <c r="L99" s="4">
        <v>137.04</v>
      </c>
      <c r="M99" s="4">
        <v>6</v>
      </c>
      <c r="N99" s="4">
        <v>0.44</v>
      </c>
      <c r="O99">
        <v>137</v>
      </c>
    </row>
    <row r="100" spans="1:15" x14ac:dyDescent="0.2">
      <c r="A100" s="25">
        <v>45644</v>
      </c>
      <c r="B100" s="25">
        <v>45672</v>
      </c>
      <c r="C100" s="4" t="s">
        <v>818</v>
      </c>
      <c r="D100" s="4" t="s">
        <v>16</v>
      </c>
      <c r="E100" s="26" t="s">
        <v>801</v>
      </c>
      <c r="F100" s="27" t="s">
        <v>811</v>
      </c>
      <c r="G100" s="28" t="s">
        <v>803</v>
      </c>
      <c r="H100" s="4"/>
      <c r="I100" s="4"/>
      <c r="J100" s="4">
        <v>40.6</v>
      </c>
      <c r="K100" s="4">
        <v>2</v>
      </c>
      <c r="L100" s="4">
        <v>40.6</v>
      </c>
      <c r="M100" s="4">
        <v>2</v>
      </c>
      <c r="N100" s="4">
        <v>0.23</v>
      </c>
      <c r="O100">
        <v>20.3</v>
      </c>
    </row>
    <row r="101" spans="1:15" x14ac:dyDescent="0.2">
      <c r="A101" s="25">
        <v>45649</v>
      </c>
      <c r="B101" s="25">
        <v>45649</v>
      </c>
      <c r="C101" s="4" t="s">
        <v>818</v>
      </c>
      <c r="D101" s="4" t="s">
        <v>29</v>
      </c>
      <c r="E101" s="26" t="s">
        <v>801</v>
      </c>
      <c r="F101" s="27" t="s">
        <v>811</v>
      </c>
      <c r="G101" s="29" t="s">
        <v>812</v>
      </c>
      <c r="H101" s="28" t="s">
        <v>803</v>
      </c>
      <c r="I101" s="4"/>
      <c r="J101" s="4">
        <v>34.950000000000003</v>
      </c>
      <c r="K101" s="4">
        <v>1</v>
      </c>
      <c r="L101" s="4">
        <v>34.950000000000003</v>
      </c>
      <c r="M101" s="4">
        <v>1</v>
      </c>
      <c r="N101" s="4">
        <v>0.67</v>
      </c>
      <c r="O101">
        <v>11.6</v>
      </c>
    </row>
    <row r="102" spans="1:15" x14ac:dyDescent="0.2">
      <c r="A102" s="25">
        <v>45649</v>
      </c>
      <c r="B102" s="25">
        <v>45649</v>
      </c>
      <c r="C102" s="4" t="s">
        <v>818</v>
      </c>
      <c r="D102" s="4" t="s">
        <v>10</v>
      </c>
      <c r="E102" s="26" t="s">
        <v>800</v>
      </c>
      <c r="F102" s="27" t="s">
        <v>804</v>
      </c>
      <c r="G102" s="28" t="s">
        <v>803</v>
      </c>
      <c r="H102" s="4"/>
      <c r="I102" s="4"/>
      <c r="J102" s="4">
        <v>21.99</v>
      </c>
      <c r="K102" s="4">
        <v>1</v>
      </c>
      <c r="L102" s="4">
        <v>0</v>
      </c>
      <c r="M102" s="4">
        <v>0</v>
      </c>
      <c r="N102" s="4">
        <v>0.42</v>
      </c>
      <c r="O102">
        <v>11</v>
      </c>
    </row>
    <row r="103" spans="1:15" x14ac:dyDescent="0.2">
      <c r="A103" s="25">
        <v>45655</v>
      </c>
      <c r="B103" s="25">
        <v>45655</v>
      </c>
      <c r="C103" s="4" t="s">
        <v>818</v>
      </c>
      <c r="D103" s="4" t="s">
        <v>21</v>
      </c>
      <c r="E103" s="26" t="s">
        <v>800</v>
      </c>
      <c r="F103" s="27" t="s">
        <v>804</v>
      </c>
      <c r="G103" s="29" t="s">
        <v>812</v>
      </c>
      <c r="H103" s="30" t="s">
        <v>810</v>
      </c>
      <c r="I103" s="28" t="s">
        <v>803</v>
      </c>
      <c r="J103" s="4">
        <v>21.67</v>
      </c>
      <c r="K103" s="4">
        <v>1</v>
      </c>
      <c r="L103" s="4">
        <v>0</v>
      </c>
      <c r="M103" s="4">
        <v>0</v>
      </c>
      <c r="N103" s="4">
        <v>0.64</v>
      </c>
      <c r="O103">
        <v>5.4</v>
      </c>
    </row>
    <row r="104" spans="1:15" x14ac:dyDescent="0.2">
      <c r="A104" s="25">
        <v>45647</v>
      </c>
      <c r="B104" s="25">
        <v>45647</v>
      </c>
      <c r="C104" s="4" t="s">
        <v>818</v>
      </c>
      <c r="D104" s="4" t="s">
        <v>15</v>
      </c>
      <c r="E104" s="26" t="s">
        <v>809</v>
      </c>
      <c r="F104" s="27" t="s">
        <v>811</v>
      </c>
      <c r="G104" s="28" t="s">
        <v>803</v>
      </c>
      <c r="H104" s="4"/>
      <c r="I104" s="4"/>
      <c r="J104" s="4">
        <v>20.69</v>
      </c>
      <c r="K104" s="4">
        <v>1</v>
      </c>
      <c r="L104" s="4">
        <v>0</v>
      </c>
      <c r="M104" s="4">
        <v>0</v>
      </c>
      <c r="N104" s="4">
        <v>0.16</v>
      </c>
      <c r="O104">
        <v>10.3</v>
      </c>
    </row>
    <row r="105" spans="1:15" x14ac:dyDescent="0.2">
      <c r="A105" s="25">
        <v>45644</v>
      </c>
      <c r="B105" s="25">
        <v>45644</v>
      </c>
      <c r="C105" s="4" t="s">
        <v>818</v>
      </c>
      <c r="D105" s="4" t="s">
        <v>28</v>
      </c>
      <c r="E105" s="26" t="s">
        <v>806</v>
      </c>
      <c r="F105" s="27" t="s">
        <v>811</v>
      </c>
      <c r="G105" s="28" t="s">
        <v>803</v>
      </c>
      <c r="H105" s="4"/>
      <c r="I105" s="4"/>
      <c r="J105" s="4">
        <v>18.61</v>
      </c>
      <c r="K105" s="4">
        <v>1</v>
      </c>
      <c r="L105" s="4">
        <v>18.61</v>
      </c>
      <c r="M105" s="4">
        <v>1</v>
      </c>
      <c r="N105" s="4">
        <v>0.12</v>
      </c>
      <c r="O105">
        <v>9.3000000000000007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67A42-A3B5-4743-8510-A456C9A4DCE9}">
  <sheetPr codeName="Sheet2"/>
  <dimension ref="A1:N35"/>
  <sheetViews>
    <sheetView workbookViewId="0">
      <selection activeCell="D35" sqref="D35"/>
    </sheetView>
  </sheetViews>
  <sheetFormatPr baseColWidth="10" defaultRowHeight="16" x14ac:dyDescent="0.2"/>
  <cols>
    <col min="4" max="4" width="28.83203125" customWidth="1"/>
    <col min="5" max="5" width="16.33203125" customWidth="1"/>
    <col min="6" max="6" width="19" customWidth="1"/>
    <col min="7" max="7" width="22" customWidth="1"/>
    <col min="8" max="8" width="14.5" customWidth="1"/>
    <col min="14" max="14" width="13.1640625" bestFit="1" customWidth="1"/>
  </cols>
  <sheetData>
    <row r="1" spans="1:14" x14ac:dyDescent="0.2">
      <c r="A1" s="11" t="s">
        <v>0</v>
      </c>
      <c r="B1" s="11" t="s">
        <v>1</v>
      </c>
      <c r="C1" s="11" t="s">
        <v>2</v>
      </c>
      <c r="D1" s="11" t="s">
        <v>3</v>
      </c>
      <c r="E1" s="11"/>
      <c r="F1" s="11"/>
      <c r="G1" s="11"/>
      <c r="H1" s="11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  <c r="N1" s="11" t="s">
        <v>32</v>
      </c>
    </row>
    <row r="2" spans="1:14" x14ac:dyDescent="0.2">
      <c r="A2" s="1">
        <v>45641</v>
      </c>
      <c r="B2" s="1">
        <v>45672</v>
      </c>
      <c r="C2" t="s">
        <v>9</v>
      </c>
      <c r="D2" s="12" t="s">
        <v>801</v>
      </c>
      <c r="E2" s="13" t="s">
        <v>803</v>
      </c>
      <c r="I2">
        <v>89994.04</v>
      </c>
      <c r="J2">
        <v>2530</v>
      </c>
      <c r="K2">
        <v>67812.47</v>
      </c>
      <c r="L2">
        <v>1980</v>
      </c>
      <c r="M2">
        <v>49.84</v>
      </c>
      <c r="N2" t="s">
        <v>33</v>
      </c>
    </row>
    <row r="3" spans="1:14" x14ac:dyDescent="0.2">
      <c r="A3" s="1">
        <v>45641</v>
      </c>
      <c r="B3" s="1">
        <v>45672</v>
      </c>
      <c r="C3" t="s">
        <v>9</v>
      </c>
      <c r="D3" s="12" t="s">
        <v>801</v>
      </c>
      <c r="E3" s="14" t="s">
        <v>256</v>
      </c>
      <c r="F3" s="13" t="s">
        <v>803</v>
      </c>
      <c r="I3">
        <v>18253.14</v>
      </c>
      <c r="J3">
        <v>509</v>
      </c>
      <c r="K3">
        <v>11672.85</v>
      </c>
      <c r="L3">
        <v>303</v>
      </c>
      <c r="M3">
        <v>10.11</v>
      </c>
      <c r="N3" t="s">
        <v>33</v>
      </c>
    </row>
    <row r="4" spans="1:14" x14ac:dyDescent="0.2">
      <c r="A4" s="1">
        <v>45641</v>
      </c>
      <c r="B4" s="1">
        <v>45672</v>
      </c>
      <c r="C4" t="s">
        <v>9</v>
      </c>
      <c r="D4" s="12" t="s">
        <v>799</v>
      </c>
      <c r="E4" s="13" t="s">
        <v>803</v>
      </c>
      <c r="I4">
        <v>18104.91</v>
      </c>
      <c r="J4">
        <v>394</v>
      </c>
      <c r="K4">
        <v>15792.41</v>
      </c>
      <c r="L4">
        <v>336</v>
      </c>
      <c r="M4">
        <v>10.029999999999999</v>
      </c>
      <c r="N4" t="s">
        <v>33</v>
      </c>
    </row>
    <row r="5" spans="1:14" x14ac:dyDescent="0.2">
      <c r="A5" s="1">
        <v>45641</v>
      </c>
      <c r="B5" s="1">
        <v>45672</v>
      </c>
      <c r="C5" t="s">
        <v>9</v>
      </c>
      <c r="D5" s="12" t="s">
        <v>799</v>
      </c>
      <c r="E5" s="14" t="s">
        <v>804</v>
      </c>
      <c r="F5" s="13" t="s">
        <v>803</v>
      </c>
      <c r="I5">
        <v>11117.63</v>
      </c>
      <c r="J5">
        <v>301</v>
      </c>
      <c r="K5">
        <v>8354.5300000000007</v>
      </c>
      <c r="L5">
        <v>206</v>
      </c>
      <c r="M5">
        <v>6.16</v>
      </c>
      <c r="N5" t="s">
        <v>33</v>
      </c>
    </row>
    <row r="6" spans="1:14" x14ac:dyDescent="0.2">
      <c r="A6" s="1">
        <v>45641</v>
      </c>
      <c r="B6" s="1">
        <v>45672</v>
      </c>
      <c r="C6" t="s">
        <v>9</v>
      </c>
      <c r="D6" s="12" t="s">
        <v>801</v>
      </c>
      <c r="E6" s="14" t="s">
        <v>805</v>
      </c>
      <c r="F6" s="13" t="s">
        <v>803</v>
      </c>
      <c r="I6">
        <v>10536.19</v>
      </c>
      <c r="J6">
        <v>187</v>
      </c>
      <c r="K6">
        <v>7378</v>
      </c>
      <c r="L6">
        <v>112</v>
      </c>
      <c r="M6">
        <v>6.15</v>
      </c>
      <c r="N6" t="s">
        <v>33</v>
      </c>
    </row>
    <row r="7" spans="1:14" x14ac:dyDescent="0.2">
      <c r="A7" s="1">
        <v>45641</v>
      </c>
      <c r="B7" s="1">
        <v>45672</v>
      </c>
      <c r="C7" t="s">
        <v>9</v>
      </c>
      <c r="D7" s="12" t="s">
        <v>802</v>
      </c>
      <c r="E7" s="14" t="s">
        <v>804</v>
      </c>
      <c r="F7" s="13" t="s">
        <v>803</v>
      </c>
      <c r="I7">
        <v>9045.0400000000009</v>
      </c>
      <c r="J7">
        <v>164</v>
      </c>
      <c r="K7">
        <v>7377.26</v>
      </c>
      <c r="L7">
        <v>123</v>
      </c>
      <c r="M7">
        <v>5.26</v>
      </c>
      <c r="N7" t="s">
        <v>33</v>
      </c>
    </row>
    <row r="8" spans="1:14" x14ac:dyDescent="0.2">
      <c r="A8" s="1">
        <v>45641</v>
      </c>
      <c r="B8" s="1">
        <v>45672</v>
      </c>
      <c r="C8" t="s">
        <v>9</v>
      </c>
      <c r="D8" s="12" t="s">
        <v>802</v>
      </c>
      <c r="E8" s="13" t="s">
        <v>803</v>
      </c>
      <c r="I8">
        <v>8316.74</v>
      </c>
      <c r="J8">
        <v>201</v>
      </c>
      <c r="K8">
        <v>7212.94</v>
      </c>
      <c r="L8">
        <v>173</v>
      </c>
      <c r="M8">
        <v>4.6100000000000003</v>
      </c>
      <c r="N8" t="s">
        <v>33</v>
      </c>
    </row>
    <row r="9" spans="1:14" x14ac:dyDescent="0.2">
      <c r="A9" s="1">
        <v>45641</v>
      </c>
      <c r="B9" s="1">
        <v>45671</v>
      </c>
      <c r="C9" t="s">
        <v>9</v>
      </c>
      <c r="D9" s="12" t="s">
        <v>802</v>
      </c>
      <c r="E9" s="14" t="s">
        <v>804</v>
      </c>
      <c r="F9" s="15" t="s">
        <v>256</v>
      </c>
      <c r="G9" t="s">
        <v>803</v>
      </c>
      <c r="I9">
        <v>3629.58</v>
      </c>
      <c r="J9">
        <v>65</v>
      </c>
      <c r="K9">
        <v>2564.25</v>
      </c>
      <c r="L9">
        <v>37</v>
      </c>
      <c r="M9">
        <v>3.26</v>
      </c>
      <c r="N9" t="s">
        <v>33</v>
      </c>
    </row>
    <row r="10" spans="1:14" x14ac:dyDescent="0.2">
      <c r="A10" s="1">
        <v>45641</v>
      </c>
      <c r="B10" s="1">
        <v>45672</v>
      </c>
      <c r="C10" t="s">
        <v>9</v>
      </c>
      <c r="D10" s="12" t="s">
        <v>801</v>
      </c>
      <c r="E10" s="14" t="s">
        <v>805</v>
      </c>
      <c r="F10" s="15" t="s">
        <v>256</v>
      </c>
      <c r="G10" t="s">
        <v>803</v>
      </c>
      <c r="I10">
        <v>3293.08</v>
      </c>
      <c r="J10">
        <v>89</v>
      </c>
      <c r="K10">
        <v>2141.8200000000002</v>
      </c>
      <c r="L10">
        <v>46</v>
      </c>
      <c r="M10">
        <v>2.08</v>
      </c>
      <c r="N10" t="s">
        <v>33</v>
      </c>
    </row>
    <row r="11" spans="1:14" x14ac:dyDescent="0.2">
      <c r="A11" s="1">
        <v>45641</v>
      </c>
      <c r="B11" s="1">
        <v>45665</v>
      </c>
      <c r="C11" t="s">
        <v>9</v>
      </c>
      <c r="D11" s="12" t="s">
        <v>801</v>
      </c>
      <c r="E11" s="14" t="s">
        <v>256</v>
      </c>
      <c r="F11" s="15" t="s">
        <v>805</v>
      </c>
      <c r="G11" t="s">
        <v>803</v>
      </c>
      <c r="I11">
        <v>2353.8000000000002</v>
      </c>
      <c r="J11">
        <v>49</v>
      </c>
      <c r="K11">
        <v>1390.95</v>
      </c>
      <c r="L11">
        <v>26</v>
      </c>
      <c r="M11">
        <v>1.65</v>
      </c>
      <c r="N11" t="s">
        <v>33</v>
      </c>
    </row>
    <row r="12" spans="1:14" x14ac:dyDescent="0.2">
      <c r="A12" s="1">
        <v>45641</v>
      </c>
      <c r="B12" s="1">
        <v>45671</v>
      </c>
      <c r="C12" t="s">
        <v>9</v>
      </c>
      <c r="D12" s="12" t="s">
        <v>799</v>
      </c>
      <c r="E12" s="14" t="s">
        <v>804</v>
      </c>
      <c r="F12" s="15" t="s">
        <v>805</v>
      </c>
      <c r="G12" t="s">
        <v>803</v>
      </c>
      <c r="I12">
        <v>1504.33</v>
      </c>
      <c r="J12">
        <v>19</v>
      </c>
      <c r="K12">
        <v>764.24</v>
      </c>
      <c r="L12">
        <v>10</v>
      </c>
      <c r="M12">
        <v>2.42</v>
      </c>
      <c r="N12" t="s">
        <v>33</v>
      </c>
    </row>
    <row r="13" spans="1:14" x14ac:dyDescent="0.2">
      <c r="A13" s="1">
        <v>45641</v>
      </c>
      <c r="B13" s="1">
        <v>45672</v>
      </c>
      <c r="C13" t="s">
        <v>9</v>
      </c>
      <c r="D13" s="12" t="s">
        <v>802</v>
      </c>
      <c r="E13" s="14" t="s">
        <v>256</v>
      </c>
      <c r="F13" s="13" t="s">
        <v>803</v>
      </c>
      <c r="I13">
        <v>1472.63</v>
      </c>
      <c r="J13">
        <v>33</v>
      </c>
      <c r="K13">
        <v>1320.79</v>
      </c>
      <c r="L13">
        <v>26</v>
      </c>
      <c r="M13">
        <v>1.37</v>
      </c>
      <c r="N13" t="s">
        <v>33</v>
      </c>
    </row>
    <row r="14" spans="1:14" x14ac:dyDescent="0.2">
      <c r="A14" s="1">
        <v>45641</v>
      </c>
      <c r="B14" s="1">
        <v>45669</v>
      </c>
      <c r="C14" t="s">
        <v>9</v>
      </c>
      <c r="D14" s="12" t="s">
        <v>799</v>
      </c>
      <c r="E14" s="14" t="s">
        <v>805</v>
      </c>
      <c r="F14" s="13" t="s">
        <v>803</v>
      </c>
      <c r="I14">
        <v>1434.26</v>
      </c>
      <c r="J14">
        <v>22</v>
      </c>
      <c r="K14">
        <v>1108.33</v>
      </c>
      <c r="L14">
        <v>12</v>
      </c>
      <c r="M14">
        <v>1.44</v>
      </c>
      <c r="N14" t="s">
        <v>33</v>
      </c>
    </row>
    <row r="15" spans="1:14" x14ac:dyDescent="0.2">
      <c r="A15" s="1">
        <v>45646</v>
      </c>
      <c r="B15" s="1">
        <v>45665</v>
      </c>
      <c r="C15" t="s">
        <v>9</v>
      </c>
      <c r="D15" s="12" t="s">
        <v>799</v>
      </c>
      <c r="E15" s="14" t="s">
        <v>805</v>
      </c>
      <c r="F15" s="15" t="s">
        <v>804</v>
      </c>
      <c r="G15" t="s">
        <v>803</v>
      </c>
      <c r="I15">
        <v>686.89</v>
      </c>
      <c r="J15">
        <v>9</v>
      </c>
      <c r="K15">
        <v>198.24</v>
      </c>
      <c r="L15">
        <v>7</v>
      </c>
      <c r="M15">
        <v>1.89</v>
      </c>
      <c r="N15" t="s">
        <v>33</v>
      </c>
    </row>
    <row r="16" spans="1:14" x14ac:dyDescent="0.2">
      <c r="A16" s="1">
        <v>45642</v>
      </c>
      <c r="B16" s="1">
        <v>45668</v>
      </c>
      <c r="C16" t="s">
        <v>9</v>
      </c>
      <c r="D16" s="12" t="s">
        <v>802</v>
      </c>
      <c r="E16" s="14" t="s">
        <v>256</v>
      </c>
      <c r="F16" s="15" t="s">
        <v>804</v>
      </c>
      <c r="G16" t="s">
        <v>803</v>
      </c>
      <c r="I16">
        <v>537.08000000000004</v>
      </c>
      <c r="J16">
        <v>15</v>
      </c>
      <c r="K16">
        <v>336.64</v>
      </c>
      <c r="L16">
        <v>10</v>
      </c>
      <c r="M16">
        <v>0.56999999999999995</v>
      </c>
      <c r="N16" t="s">
        <v>33</v>
      </c>
    </row>
    <row r="17" spans="1:14" x14ac:dyDescent="0.2">
      <c r="A17" s="1">
        <v>45643</v>
      </c>
      <c r="B17" s="1">
        <v>45662</v>
      </c>
      <c r="C17" t="s">
        <v>9</v>
      </c>
      <c r="D17" s="12" t="s">
        <v>800</v>
      </c>
      <c r="E17" s="13" t="s">
        <v>803</v>
      </c>
      <c r="I17">
        <v>137.04</v>
      </c>
      <c r="J17">
        <v>6</v>
      </c>
      <c r="K17">
        <v>137.04</v>
      </c>
      <c r="L17">
        <v>6</v>
      </c>
      <c r="M17">
        <v>0.44</v>
      </c>
      <c r="N17" t="s">
        <v>33</v>
      </c>
    </row>
    <row r="18" spans="1:14" x14ac:dyDescent="0.2">
      <c r="A18" s="1">
        <v>45644</v>
      </c>
      <c r="B18" s="1">
        <v>45672</v>
      </c>
      <c r="C18" t="s">
        <v>9</v>
      </c>
      <c r="D18" s="12" t="s">
        <v>801</v>
      </c>
      <c r="E18" s="14" t="s">
        <v>796</v>
      </c>
      <c r="F18" s="13" t="s">
        <v>803</v>
      </c>
      <c r="I18">
        <v>40.6</v>
      </c>
      <c r="J18">
        <v>2</v>
      </c>
      <c r="K18">
        <v>40.6</v>
      </c>
      <c r="L18">
        <v>2</v>
      </c>
      <c r="M18">
        <v>0.23</v>
      </c>
      <c r="N18" t="s">
        <v>33</v>
      </c>
    </row>
    <row r="19" spans="1:14" x14ac:dyDescent="0.2">
      <c r="A19" s="1">
        <v>45649</v>
      </c>
      <c r="B19" s="1">
        <v>45649</v>
      </c>
      <c r="C19" t="s">
        <v>9</v>
      </c>
      <c r="D19" s="12" t="s">
        <v>801</v>
      </c>
      <c r="E19" s="14" t="s">
        <v>796</v>
      </c>
      <c r="F19" s="15" t="s">
        <v>256</v>
      </c>
      <c r="G19" t="s">
        <v>803</v>
      </c>
      <c r="I19">
        <v>34.950000000000003</v>
      </c>
      <c r="J19">
        <v>1</v>
      </c>
      <c r="K19">
        <v>34.950000000000003</v>
      </c>
      <c r="L19">
        <v>1</v>
      </c>
      <c r="M19">
        <v>0.67</v>
      </c>
      <c r="N19" t="s">
        <v>33</v>
      </c>
    </row>
    <row r="20" spans="1:14" x14ac:dyDescent="0.2">
      <c r="A20" s="1">
        <v>45649</v>
      </c>
      <c r="B20" s="1">
        <v>45649</v>
      </c>
      <c r="C20" t="s">
        <v>9</v>
      </c>
      <c r="D20" s="12" t="s">
        <v>800</v>
      </c>
      <c r="E20" s="14" t="s">
        <v>804</v>
      </c>
      <c r="F20" s="13" t="s">
        <v>803</v>
      </c>
      <c r="I20">
        <v>21.99</v>
      </c>
      <c r="J20">
        <v>1</v>
      </c>
      <c r="K20">
        <v>0</v>
      </c>
      <c r="L20">
        <v>0</v>
      </c>
      <c r="M20">
        <v>0.42</v>
      </c>
      <c r="N20" t="s">
        <v>33</v>
      </c>
    </row>
    <row r="21" spans="1:14" x14ac:dyDescent="0.2">
      <c r="A21" s="1">
        <v>45655</v>
      </c>
      <c r="B21" s="1">
        <v>45655</v>
      </c>
      <c r="C21" t="s">
        <v>9</v>
      </c>
      <c r="D21" s="12" t="s">
        <v>800</v>
      </c>
      <c r="E21" s="14" t="s">
        <v>804</v>
      </c>
      <c r="F21" s="15" t="s">
        <v>256</v>
      </c>
      <c r="G21" s="16" t="s">
        <v>805</v>
      </c>
      <c r="H21" s="13" t="s">
        <v>798</v>
      </c>
      <c r="I21">
        <v>21.67</v>
      </c>
      <c r="J21">
        <v>1</v>
      </c>
      <c r="K21">
        <v>0</v>
      </c>
      <c r="L21">
        <v>0</v>
      </c>
      <c r="M21">
        <v>0.64</v>
      </c>
      <c r="N21" t="s">
        <v>33</v>
      </c>
    </row>
    <row r="22" spans="1:14" x14ac:dyDescent="0.2">
      <c r="A22" s="1">
        <v>45647</v>
      </c>
      <c r="B22" s="1">
        <v>45647</v>
      </c>
      <c r="C22" t="s">
        <v>9</v>
      </c>
      <c r="D22" s="12" t="s">
        <v>802</v>
      </c>
      <c r="E22" s="14" t="s">
        <v>796</v>
      </c>
      <c r="F22" s="13" t="s">
        <v>803</v>
      </c>
      <c r="I22">
        <v>20.69</v>
      </c>
      <c r="J22">
        <v>1</v>
      </c>
      <c r="K22">
        <v>0</v>
      </c>
      <c r="L22">
        <v>0</v>
      </c>
      <c r="M22">
        <v>0.16</v>
      </c>
      <c r="N22" t="s">
        <v>33</v>
      </c>
    </row>
    <row r="23" spans="1:14" x14ac:dyDescent="0.2">
      <c r="A23" s="1">
        <v>45644</v>
      </c>
      <c r="B23" s="1">
        <v>45644</v>
      </c>
      <c r="C23" t="s">
        <v>9</v>
      </c>
      <c r="D23" s="12" t="s">
        <v>799</v>
      </c>
      <c r="E23" s="14" t="s">
        <v>796</v>
      </c>
      <c r="F23" s="13" t="s">
        <v>803</v>
      </c>
      <c r="I23">
        <v>18.61</v>
      </c>
      <c r="J23">
        <v>1</v>
      </c>
      <c r="K23">
        <v>18.61</v>
      </c>
      <c r="L23">
        <v>1</v>
      </c>
      <c r="M23">
        <v>0.12</v>
      </c>
      <c r="N23" t="s">
        <v>33</v>
      </c>
    </row>
    <row r="28" spans="1:14" x14ac:dyDescent="0.2">
      <c r="D28" s="12"/>
      <c r="E28" s="14"/>
      <c r="F28" s="16"/>
      <c r="G28" s="15"/>
      <c r="H28" s="13"/>
    </row>
    <row r="30" spans="1:14" x14ac:dyDescent="0.2">
      <c r="H30" s="20"/>
    </row>
    <row r="32" spans="1:14" x14ac:dyDescent="0.2">
      <c r="H32" s="20"/>
    </row>
    <row r="33" spans="8:8" x14ac:dyDescent="0.2">
      <c r="H33" s="21"/>
    </row>
    <row r="35" spans="8:8" x14ac:dyDescent="0.2">
      <c r="H35" s="21"/>
    </row>
  </sheetData>
  <sortState xmlns:xlrd2="http://schemas.microsoft.com/office/spreadsheetml/2017/richdata2" ref="A2:N23">
    <sortCondition descending="1" ref="I2:I23"/>
  </sortState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63831-B967-0941-AD99-65F40000E941}">
  <sheetPr codeName="Sheet3"/>
  <dimension ref="A1:AJ638"/>
  <sheetViews>
    <sheetView workbookViewId="0"/>
  </sheetViews>
  <sheetFormatPr baseColWidth="10" defaultRowHeight="16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</row>
    <row r="2" spans="1:36" x14ac:dyDescent="0.2">
      <c r="A2" t="s">
        <v>70</v>
      </c>
      <c r="B2" t="s">
        <v>71</v>
      </c>
      <c r="C2" t="s">
        <v>72</v>
      </c>
      <c r="D2" t="s">
        <v>73</v>
      </c>
      <c r="E2" t="s">
        <v>74</v>
      </c>
      <c r="F2" t="s">
        <v>75</v>
      </c>
      <c r="G2" t="s">
        <v>76</v>
      </c>
      <c r="J2">
        <v>18</v>
      </c>
      <c r="K2" t="s">
        <v>77</v>
      </c>
      <c r="L2" t="s">
        <v>78</v>
      </c>
      <c r="M2">
        <v>4364</v>
      </c>
      <c r="N2">
        <v>10</v>
      </c>
      <c r="O2">
        <v>2.3E-3</v>
      </c>
      <c r="P2">
        <v>5.32</v>
      </c>
      <c r="Q2">
        <v>0.53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</row>
    <row r="3" spans="1:36" x14ac:dyDescent="0.2">
      <c r="A3" t="s">
        <v>70</v>
      </c>
      <c r="B3" t="s">
        <v>79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J3">
        <v>18</v>
      </c>
      <c r="K3" t="s">
        <v>77</v>
      </c>
      <c r="L3" t="s">
        <v>78</v>
      </c>
      <c r="M3">
        <v>816</v>
      </c>
      <c r="N3">
        <v>2</v>
      </c>
      <c r="O3">
        <v>2.5000000000000001E-3</v>
      </c>
      <c r="P3">
        <v>0.83</v>
      </c>
      <c r="Q3">
        <v>0.42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</row>
    <row r="4" spans="1:36" x14ac:dyDescent="0.2">
      <c r="A4" t="s">
        <v>70</v>
      </c>
      <c r="B4" t="s">
        <v>80</v>
      </c>
      <c r="C4" t="s">
        <v>72</v>
      </c>
      <c r="D4" t="s">
        <v>73</v>
      </c>
      <c r="E4" t="s">
        <v>74</v>
      </c>
      <c r="F4" t="s">
        <v>75</v>
      </c>
      <c r="G4" t="s">
        <v>76</v>
      </c>
      <c r="J4">
        <v>18</v>
      </c>
      <c r="K4" t="s">
        <v>77</v>
      </c>
      <c r="L4" t="s">
        <v>78</v>
      </c>
      <c r="M4">
        <v>2911</v>
      </c>
      <c r="N4">
        <v>18</v>
      </c>
      <c r="O4">
        <v>6.1999999999999998E-3</v>
      </c>
      <c r="P4">
        <v>9.52</v>
      </c>
      <c r="Q4">
        <v>0.53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</row>
    <row r="5" spans="1:36" x14ac:dyDescent="0.2">
      <c r="A5" t="s">
        <v>70</v>
      </c>
      <c r="B5" t="s">
        <v>81</v>
      </c>
      <c r="C5" t="s">
        <v>72</v>
      </c>
      <c r="D5" t="s">
        <v>73</v>
      </c>
      <c r="E5" t="s">
        <v>74</v>
      </c>
      <c r="F5" t="s">
        <v>75</v>
      </c>
      <c r="G5" t="s">
        <v>76</v>
      </c>
      <c r="J5">
        <v>18</v>
      </c>
      <c r="K5" t="s">
        <v>77</v>
      </c>
      <c r="L5" t="s">
        <v>78</v>
      </c>
      <c r="M5">
        <v>1090</v>
      </c>
      <c r="N5">
        <v>3</v>
      </c>
      <c r="O5">
        <v>2.8E-3</v>
      </c>
      <c r="P5">
        <v>1.5</v>
      </c>
      <c r="Q5">
        <v>0.5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</row>
    <row r="6" spans="1:36" x14ac:dyDescent="0.2">
      <c r="A6" t="s">
        <v>70</v>
      </c>
      <c r="B6" t="s">
        <v>82</v>
      </c>
      <c r="C6" t="s">
        <v>83</v>
      </c>
      <c r="D6" t="s">
        <v>73</v>
      </c>
      <c r="E6" t="s">
        <v>74</v>
      </c>
      <c r="F6" t="s">
        <v>75</v>
      </c>
      <c r="G6" t="s">
        <v>76</v>
      </c>
      <c r="J6">
        <v>18</v>
      </c>
      <c r="L6" t="s">
        <v>78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</row>
    <row r="7" spans="1:36" x14ac:dyDescent="0.2">
      <c r="A7" t="s">
        <v>70</v>
      </c>
      <c r="B7" t="s">
        <v>84</v>
      </c>
      <c r="C7" t="s">
        <v>72</v>
      </c>
      <c r="D7" t="s">
        <v>73</v>
      </c>
      <c r="E7" t="s">
        <v>74</v>
      </c>
      <c r="F7" t="s">
        <v>75</v>
      </c>
      <c r="G7" t="s">
        <v>76</v>
      </c>
      <c r="J7">
        <v>18</v>
      </c>
      <c r="K7" t="s">
        <v>77</v>
      </c>
      <c r="L7" t="s">
        <v>78</v>
      </c>
      <c r="M7">
        <v>3647</v>
      </c>
      <c r="N7">
        <v>11</v>
      </c>
      <c r="O7">
        <v>3.0000000000000001E-3</v>
      </c>
      <c r="P7">
        <v>6.1</v>
      </c>
      <c r="Q7">
        <v>0.55000000000000004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</row>
    <row r="8" spans="1:36" x14ac:dyDescent="0.2">
      <c r="A8" t="s">
        <v>70</v>
      </c>
      <c r="B8" t="s">
        <v>85</v>
      </c>
      <c r="C8" t="s">
        <v>72</v>
      </c>
      <c r="D8" t="s">
        <v>73</v>
      </c>
      <c r="E8" t="s">
        <v>74</v>
      </c>
      <c r="F8" t="s">
        <v>75</v>
      </c>
      <c r="G8" t="s">
        <v>76</v>
      </c>
      <c r="J8">
        <v>18</v>
      </c>
      <c r="K8" t="s">
        <v>77</v>
      </c>
      <c r="L8" t="s">
        <v>78</v>
      </c>
      <c r="M8">
        <v>93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</row>
    <row r="9" spans="1:36" x14ac:dyDescent="0.2">
      <c r="A9" t="s">
        <v>70</v>
      </c>
      <c r="B9" t="s">
        <v>86</v>
      </c>
      <c r="C9" t="s">
        <v>72</v>
      </c>
      <c r="D9" t="s">
        <v>73</v>
      </c>
      <c r="E9" t="s">
        <v>74</v>
      </c>
      <c r="F9" t="s">
        <v>75</v>
      </c>
      <c r="G9" t="s">
        <v>76</v>
      </c>
      <c r="J9">
        <v>25</v>
      </c>
      <c r="K9" t="s">
        <v>77</v>
      </c>
      <c r="L9" t="s">
        <v>78</v>
      </c>
      <c r="M9">
        <v>3388</v>
      </c>
      <c r="N9">
        <v>55</v>
      </c>
      <c r="O9">
        <v>1.6199999999999999E-2</v>
      </c>
      <c r="P9">
        <v>24.65</v>
      </c>
      <c r="Q9">
        <v>0.45</v>
      </c>
      <c r="R9">
        <v>0</v>
      </c>
      <c r="S9">
        <v>3</v>
      </c>
      <c r="T9">
        <v>89.85</v>
      </c>
      <c r="U9">
        <v>0.27429999999999999</v>
      </c>
      <c r="V9">
        <v>3.645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</row>
    <row r="10" spans="1:36" x14ac:dyDescent="0.2">
      <c r="A10" t="s">
        <v>70</v>
      </c>
      <c r="B10" t="s">
        <v>87</v>
      </c>
      <c r="C10" t="s">
        <v>72</v>
      </c>
      <c r="D10" t="s">
        <v>73</v>
      </c>
      <c r="E10" t="s">
        <v>74</v>
      </c>
      <c r="F10" t="s">
        <v>75</v>
      </c>
      <c r="G10" t="s">
        <v>76</v>
      </c>
      <c r="J10">
        <v>18</v>
      </c>
      <c r="K10" t="s">
        <v>77</v>
      </c>
      <c r="L10" t="s">
        <v>78</v>
      </c>
      <c r="M10">
        <v>795</v>
      </c>
      <c r="N10">
        <v>5</v>
      </c>
      <c r="O10">
        <v>6.3E-3</v>
      </c>
      <c r="P10">
        <v>2.3199999999999998</v>
      </c>
      <c r="Q10">
        <v>0.46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</row>
    <row r="11" spans="1:36" x14ac:dyDescent="0.2">
      <c r="A11" t="s">
        <v>70</v>
      </c>
      <c r="B11" t="s">
        <v>88</v>
      </c>
      <c r="C11" t="s">
        <v>72</v>
      </c>
      <c r="D11" t="s">
        <v>73</v>
      </c>
      <c r="E11" t="s">
        <v>74</v>
      </c>
      <c r="F11" t="s">
        <v>75</v>
      </c>
      <c r="G11" t="s">
        <v>76</v>
      </c>
      <c r="J11">
        <v>18</v>
      </c>
      <c r="K11" t="s">
        <v>77</v>
      </c>
      <c r="L11" t="s">
        <v>78</v>
      </c>
      <c r="M11">
        <v>107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</row>
    <row r="12" spans="1:36" x14ac:dyDescent="0.2">
      <c r="A12" t="s">
        <v>70</v>
      </c>
      <c r="B12" t="s">
        <v>89</v>
      </c>
      <c r="C12" t="s">
        <v>72</v>
      </c>
      <c r="D12" t="s">
        <v>73</v>
      </c>
      <c r="E12" t="s">
        <v>74</v>
      </c>
      <c r="F12" t="s">
        <v>75</v>
      </c>
      <c r="G12" t="s">
        <v>76</v>
      </c>
      <c r="J12">
        <v>18</v>
      </c>
      <c r="K12" t="s">
        <v>77</v>
      </c>
      <c r="L12" t="s">
        <v>78</v>
      </c>
      <c r="M12">
        <v>3641</v>
      </c>
      <c r="N12">
        <v>45</v>
      </c>
      <c r="O12">
        <v>1.24E-2</v>
      </c>
      <c r="P12">
        <v>17.579999999999998</v>
      </c>
      <c r="Q12">
        <v>0.39</v>
      </c>
      <c r="R12">
        <v>0</v>
      </c>
      <c r="S12">
        <v>2</v>
      </c>
      <c r="T12">
        <v>39.9</v>
      </c>
      <c r="U12">
        <v>0.44059999999999999</v>
      </c>
      <c r="V12">
        <v>2.2696000000000001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</row>
    <row r="13" spans="1:36" x14ac:dyDescent="0.2">
      <c r="A13" t="s">
        <v>70</v>
      </c>
      <c r="B13" t="s">
        <v>90</v>
      </c>
      <c r="C13" t="s">
        <v>72</v>
      </c>
      <c r="D13" t="s">
        <v>73</v>
      </c>
      <c r="E13" t="s">
        <v>74</v>
      </c>
      <c r="F13" t="s">
        <v>75</v>
      </c>
      <c r="G13" t="s">
        <v>76</v>
      </c>
      <c r="J13">
        <v>18</v>
      </c>
      <c r="K13" t="s">
        <v>77</v>
      </c>
      <c r="L13" t="s">
        <v>78</v>
      </c>
      <c r="M13">
        <v>6826</v>
      </c>
      <c r="N13">
        <v>53</v>
      </c>
      <c r="O13">
        <v>7.7999999999999996E-3</v>
      </c>
      <c r="P13">
        <v>22.16</v>
      </c>
      <c r="Q13">
        <v>0.42</v>
      </c>
      <c r="R13">
        <v>0</v>
      </c>
      <c r="S13">
        <v>1</v>
      </c>
      <c r="T13">
        <v>96.62</v>
      </c>
      <c r="U13">
        <v>0.22939999999999999</v>
      </c>
      <c r="V13">
        <v>4.3601000000000001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</row>
    <row r="14" spans="1:36" x14ac:dyDescent="0.2">
      <c r="A14" t="s">
        <v>70</v>
      </c>
      <c r="B14" t="s">
        <v>91</v>
      </c>
      <c r="C14" t="s">
        <v>72</v>
      </c>
      <c r="D14" t="s">
        <v>73</v>
      </c>
      <c r="E14" t="s">
        <v>74</v>
      </c>
      <c r="F14" t="s">
        <v>75</v>
      </c>
      <c r="G14" t="s">
        <v>76</v>
      </c>
      <c r="J14">
        <v>18</v>
      </c>
      <c r="K14" t="s">
        <v>77</v>
      </c>
      <c r="L14" t="s">
        <v>78</v>
      </c>
      <c r="M14">
        <v>1050</v>
      </c>
      <c r="N14">
        <v>2</v>
      </c>
      <c r="O14">
        <v>1.9E-3</v>
      </c>
      <c r="P14">
        <v>1.2</v>
      </c>
      <c r="Q14">
        <v>0.6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</row>
    <row r="15" spans="1:36" x14ac:dyDescent="0.2">
      <c r="A15" t="s">
        <v>70</v>
      </c>
      <c r="B15" t="s">
        <v>92</v>
      </c>
      <c r="C15" t="s">
        <v>72</v>
      </c>
      <c r="D15" t="s">
        <v>73</v>
      </c>
      <c r="E15" t="s">
        <v>74</v>
      </c>
      <c r="F15" t="s">
        <v>75</v>
      </c>
      <c r="G15" t="s">
        <v>76</v>
      </c>
      <c r="J15">
        <v>18</v>
      </c>
      <c r="K15" t="s">
        <v>77</v>
      </c>
      <c r="L15" t="s">
        <v>78</v>
      </c>
      <c r="M15">
        <v>5362</v>
      </c>
      <c r="N15">
        <v>45</v>
      </c>
      <c r="O15">
        <v>8.3999999999999995E-3</v>
      </c>
      <c r="P15">
        <v>18.22</v>
      </c>
      <c r="Q15">
        <v>0.4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</row>
    <row r="16" spans="1:36" x14ac:dyDescent="0.2">
      <c r="A16" t="s">
        <v>70</v>
      </c>
      <c r="B16" t="s">
        <v>93</v>
      </c>
      <c r="C16" t="s">
        <v>72</v>
      </c>
      <c r="D16" t="s">
        <v>73</v>
      </c>
      <c r="E16" t="s">
        <v>74</v>
      </c>
      <c r="F16" t="s">
        <v>75</v>
      </c>
      <c r="G16" t="s">
        <v>76</v>
      </c>
      <c r="J16">
        <v>18</v>
      </c>
      <c r="L16" t="s">
        <v>78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</row>
    <row r="17" spans="1:36" x14ac:dyDescent="0.2">
      <c r="A17" t="s">
        <v>70</v>
      </c>
      <c r="B17" t="s">
        <v>94</v>
      </c>
      <c r="C17" t="s">
        <v>72</v>
      </c>
      <c r="D17" t="s">
        <v>95</v>
      </c>
      <c r="E17" t="s">
        <v>96</v>
      </c>
      <c r="G17" s="1">
        <v>45607</v>
      </c>
      <c r="J17">
        <v>10</v>
      </c>
      <c r="K17" t="s">
        <v>77</v>
      </c>
      <c r="L17" t="s">
        <v>78</v>
      </c>
      <c r="M17">
        <v>13074</v>
      </c>
      <c r="N17">
        <v>125</v>
      </c>
      <c r="O17">
        <v>9.5999999999999992E-3</v>
      </c>
      <c r="P17">
        <v>108.29</v>
      </c>
      <c r="Q17">
        <v>0.87</v>
      </c>
      <c r="R17">
        <v>161</v>
      </c>
      <c r="S17">
        <v>2</v>
      </c>
      <c r="T17">
        <v>99.98</v>
      </c>
      <c r="U17">
        <v>1.0831</v>
      </c>
      <c r="V17">
        <v>0.92330000000000001</v>
      </c>
      <c r="W17">
        <v>2</v>
      </c>
      <c r="X17">
        <v>1</v>
      </c>
      <c r="Y17">
        <v>99.98</v>
      </c>
      <c r="Z17">
        <v>1</v>
      </c>
      <c r="AA17">
        <v>2403</v>
      </c>
      <c r="AB17">
        <v>45.06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</row>
    <row r="18" spans="1:36" x14ac:dyDescent="0.2">
      <c r="A18" t="s">
        <v>70</v>
      </c>
      <c r="B18" t="s">
        <v>97</v>
      </c>
      <c r="C18" t="s">
        <v>72</v>
      </c>
      <c r="D18" t="s">
        <v>95</v>
      </c>
      <c r="E18" t="s">
        <v>96</v>
      </c>
      <c r="G18" s="1">
        <v>45607</v>
      </c>
      <c r="J18">
        <v>4</v>
      </c>
      <c r="K18" t="s">
        <v>77</v>
      </c>
      <c r="L18" t="s">
        <v>78</v>
      </c>
      <c r="M18">
        <v>23729</v>
      </c>
      <c r="N18">
        <v>156</v>
      </c>
      <c r="O18">
        <v>6.6E-3</v>
      </c>
      <c r="P18">
        <v>127.87</v>
      </c>
      <c r="Q18">
        <v>0.82</v>
      </c>
      <c r="R18">
        <v>226</v>
      </c>
      <c r="S18">
        <v>1</v>
      </c>
      <c r="T18">
        <v>49.95</v>
      </c>
      <c r="U18">
        <v>2.56</v>
      </c>
      <c r="V18">
        <v>0.3906</v>
      </c>
      <c r="W18">
        <v>1</v>
      </c>
      <c r="X18">
        <v>1</v>
      </c>
      <c r="Y18">
        <v>49.95</v>
      </c>
      <c r="Z18">
        <v>1</v>
      </c>
      <c r="AA18">
        <v>4105</v>
      </c>
      <c r="AB18">
        <v>31.15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</row>
    <row r="19" spans="1:36" x14ac:dyDescent="0.2">
      <c r="A19" t="s">
        <v>70</v>
      </c>
      <c r="B19" t="s">
        <v>98</v>
      </c>
      <c r="C19" t="s">
        <v>72</v>
      </c>
      <c r="D19" t="s">
        <v>95</v>
      </c>
      <c r="E19" t="s">
        <v>96</v>
      </c>
      <c r="G19" s="1">
        <v>45607</v>
      </c>
      <c r="J19">
        <v>4</v>
      </c>
      <c r="K19" t="s">
        <v>77</v>
      </c>
      <c r="L19" t="s">
        <v>78</v>
      </c>
      <c r="M19">
        <v>10504</v>
      </c>
      <c r="N19">
        <v>11</v>
      </c>
      <c r="O19">
        <v>1E-3</v>
      </c>
      <c r="P19">
        <v>10.74</v>
      </c>
      <c r="Q19">
        <v>0.98</v>
      </c>
      <c r="R19">
        <v>14</v>
      </c>
      <c r="S19">
        <v>1</v>
      </c>
      <c r="T19">
        <v>11.95</v>
      </c>
      <c r="U19">
        <v>0.89870000000000005</v>
      </c>
      <c r="V19">
        <v>1.1127</v>
      </c>
      <c r="W19">
        <v>1</v>
      </c>
      <c r="X19">
        <v>1</v>
      </c>
      <c r="Y19">
        <v>11.95</v>
      </c>
      <c r="Z19">
        <v>1</v>
      </c>
      <c r="AA19">
        <v>1263</v>
      </c>
      <c r="AB19">
        <v>8.5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</row>
    <row r="20" spans="1:36" x14ac:dyDescent="0.2">
      <c r="A20" t="s">
        <v>70</v>
      </c>
      <c r="B20" t="s">
        <v>99</v>
      </c>
      <c r="C20" t="s">
        <v>72</v>
      </c>
      <c r="D20" t="s">
        <v>95</v>
      </c>
      <c r="E20" t="s">
        <v>96</v>
      </c>
      <c r="G20" s="1">
        <v>45576</v>
      </c>
      <c r="J20">
        <v>4</v>
      </c>
      <c r="K20" t="s">
        <v>77</v>
      </c>
      <c r="L20" t="s">
        <v>78</v>
      </c>
      <c r="M20">
        <v>45276</v>
      </c>
      <c r="N20">
        <v>145</v>
      </c>
      <c r="O20">
        <v>3.2000000000000002E-3</v>
      </c>
      <c r="P20">
        <v>130.03</v>
      </c>
      <c r="Q20">
        <v>0.9</v>
      </c>
      <c r="R20">
        <v>229</v>
      </c>
      <c r="S20">
        <v>14</v>
      </c>
      <c r="T20">
        <v>263.94</v>
      </c>
      <c r="U20">
        <v>0.49259999999999998</v>
      </c>
      <c r="V20">
        <v>2.0297999999999998</v>
      </c>
      <c r="W20">
        <v>8</v>
      </c>
      <c r="X20">
        <v>0.57140000000000002</v>
      </c>
      <c r="Y20">
        <v>165.85</v>
      </c>
      <c r="Z20">
        <v>0.62839999999999996</v>
      </c>
      <c r="AA20">
        <v>5177</v>
      </c>
      <c r="AB20">
        <v>25.12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</row>
    <row r="21" spans="1:36" x14ac:dyDescent="0.2">
      <c r="A21" t="s">
        <v>100</v>
      </c>
      <c r="B21" t="s">
        <v>101</v>
      </c>
      <c r="C21" t="s">
        <v>102</v>
      </c>
      <c r="D21" t="s">
        <v>95</v>
      </c>
      <c r="E21" t="s">
        <v>96</v>
      </c>
      <c r="G21" s="1">
        <v>45515</v>
      </c>
      <c r="J21">
        <v>15</v>
      </c>
      <c r="L21" t="s">
        <v>78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</row>
    <row r="22" spans="1:36" x14ac:dyDescent="0.2">
      <c r="A22" t="s">
        <v>70</v>
      </c>
      <c r="B22" t="s">
        <v>103</v>
      </c>
      <c r="C22" t="s">
        <v>72</v>
      </c>
      <c r="D22" t="s">
        <v>95</v>
      </c>
      <c r="E22" t="s">
        <v>96</v>
      </c>
      <c r="G22" s="1">
        <v>45515</v>
      </c>
      <c r="J22">
        <v>4</v>
      </c>
      <c r="K22" t="s">
        <v>77</v>
      </c>
      <c r="L22" t="s">
        <v>78</v>
      </c>
      <c r="M22">
        <v>25775</v>
      </c>
      <c r="N22">
        <v>135</v>
      </c>
      <c r="O22">
        <v>5.1999999999999998E-3</v>
      </c>
      <c r="P22">
        <v>122.32</v>
      </c>
      <c r="Q22">
        <v>0.91</v>
      </c>
      <c r="R22">
        <v>186</v>
      </c>
      <c r="S22">
        <v>4</v>
      </c>
      <c r="T22">
        <v>89.74</v>
      </c>
      <c r="U22">
        <v>1.363</v>
      </c>
      <c r="V22">
        <v>0.73360000000000003</v>
      </c>
      <c r="W22">
        <v>4</v>
      </c>
      <c r="X22">
        <v>1</v>
      </c>
      <c r="Y22">
        <v>89.74</v>
      </c>
      <c r="Z22">
        <v>1</v>
      </c>
      <c r="AA22">
        <v>3214</v>
      </c>
      <c r="AB22">
        <v>38.06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</row>
    <row r="23" spans="1:36" x14ac:dyDescent="0.2">
      <c r="A23" t="s">
        <v>100</v>
      </c>
      <c r="B23" t="s">
        <v>104</v>
      </c>
      <c r="C23" t="s">
        <v>102</v>
      </c>
      <c r="D23" t="s">
        <v>95</v>
      </c>
      <c r="E23" t="s">
        <v>96</v>
      </c>
      <c r="G23" s="1">
        <v>45515</v>
      </c>
      <c r="J23">
        <v>15</v>
      </c>
      <c r="L23" t="s">
        <v>78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</row>
    <row r="24" spans="1:36" x14ac:dyDescent="0.2">
      <c r="A24" t="s">
        <v>70</v>
      </c>
      <c r="B24" t="s">
        <v>105</v>
      </c>
      <c r="C24" t="s">
        <v>72</v>
      </c>
      <c r="D24" t="s">
        <v>95</v>
      </c>
      <c r="E24" t="s">
        <v>96</v>
      </c>
      <c r="G24" s="1">
        <v>45515</v>
      </c>
      <c r="J24">
        <v>12</v>
      </c>
      <c r="K24" s="2">
        <v>0.109282754367625</v>
      </c>
      <c r="L24" t="s">
        <v>78</v>
      </c>
      <c r="M24">
        <v>42809</v>
      </c>
      <c r="N24">
        <v>589</v>
      </c>
      <c r="O24">
        <v>1.38E-2</v>
      </c>
      <c r="P24">
        <v>454.8</v>
      </c>
      <c r="Q24">
        <v>0.77</v>
      </c>
      <c r="R24">
        <v>852</v>
      </c>
      <c r="S24">
        <v>15</v>
      </c>
      <c r="T24">
        <v>549.41999999999996</v>
      </c>
      <c r="U24">
        <v>0.82779999999999998</v>
      </c>
      <c r="V24">
        <v>1.208</v>
      </c>
      <c r="W24">
        <v>12</v>
      </c>
      <c r="X24">
        <v>0.8</v>
      </c>
      <c r="Y24">
        <v>452.03</v>
      </c>
      <c r="Z24">
        <v>0.82269999999999999</v>
      </c>
      <c r="AA24">
        <v>9528</v>
      </c>
      <c r="AB24">
        <v>47.73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</row>
    <row r="25" spans="1:36" x14ac:dyDescent="0.2">
      <c r="A25" t="s">
        <v>70</v>
      </c>
      <c r="B25" t="s">
        <v>106</v>
      </c>
      <c r="C25" t="s">
        <v>72</v>
      </c>
      <c r="D25" t="s">
        <v>95</v>
      </c>
      <c r="E25" t="s">
        <v>96</v>
      </c>
      <c r="G25" s="1">
        <v>45515</v>
      </c>
      <c r="J25">
        <v>4</v>
      </c>
      <c r="K25" t="s">
        <v>77</v>
      </c>
      <c r="L25" t="s">
        <v>78</v>
      </c>
      <c r="M25">
        <v>16502</v>
      </c>
      <c r="N25">
        <v>168</v>
      </c>
      <c r="O25">
        <v>1.0200000000000001E-2</v>
      </c>
      <c r="P25">
        <v>122.65</v>
      </c>
      <c r="Q25">
        <v>0.73</v>
      </c>
      <c r="R25">
        <v>322</v>
      </c>
      <c r="S25">
        <v>14</v>
      </c>
      <c r="T25">
        <v>456.4</v>
      </c>
      <c r="U25">
        <v>0.26869999999999999</v>
      </c>
      <c r="V25">
        <v>3.7212000000000001</v>
      </c>
      <c r="W25">
        <v>10</v>
      </c>
      <c r="X25">
        <v>0.71430000000000005</v>
      </c>
      <c r="Y25">
        <v>353.49</v>
      </c>
      <c r="Z25">
        <v>0.77449999999999997</v>
      </c>
      <c r="AA25">
        <v>2826</v>
      </c>
      <c r="AB25">
        <v>43.4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</row>
    <row r="26" spans="1:36" x14ac:dyDescent="0.2">
      <c r="A26" t="s">
        <v>70</v>
      </c>
      <c r="B26" t="s">
        <v>107</v>
      </c>
      <c r="C26" t="s">
        <v>72</v>
      </c>
      <c r="D26" t="s">
        <v>95</v>
      </c>
      <c r="E26" t="s">
        <v>96</v>
      </c>
      <c r="G26" s="1">
        <v>45515</v>
      </c>
      <c r="J26">
        <v>4</v>
      </c>
      <c r="K26" s="2">
        <v>0.26779124934106402</v>
      </c>
      <c r="L26" t="s">
        <v>78</v>
      </c>
      <c r="M26">
        <v>12407</v>
      </c>
      <c r="N26">
        <v>169</v>
      </c>
      <c r="O26">
        <v>1.3599999999999999E-2</v>
      </c>
      <c r="P26">
        <v>115.82</v>
      </c>
      <c r="Q26">
        <v>0.69</v>
      </c>
      <c r="R26">
        <v>239</v>
      </c>
      <c r="S26">
        <v>1</v>
      </c>
      <c r="T26">
        <v>259.89999999999998</v>
      </c>
      <c r="U26">
        <v>0.4456</v>
      </c>
      <c r="V26">
        <v>2.2440000000000002</v>
      </c>
      <c r="W26">
        <v>1</v>
      </c>
      <c r="X26">
        <v>1</v>
      </c>
      <c r="Y26">
        <v>259.89999999999998</v>
      </c>
      <c r="Z26">
        <v>1</v>
      </c>
      <c r="AA26">
        <v>2422</v>
      </c>
      <c r="AB26">
        <v>47.82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</row>
    <row r="27" spans="1:36" x14ac:dyDescent="0.2">
      <c r="A27" t="s">
        <v>70</v>
      </c>
      <c r="B27" t="s">
        <v>108</v>
      </c>
      <c r="C27" t="s">
        <v>72</v>
      </c>
      <c r="D27" t="s">
        <v>95</v>
      </c>
      <c r="E27" t="s">
        <v>96</v>
      </c>
      <c r="G27" s="1">
        <v>45484</v>
      </c>
      <c r="J27">
        <v>20</v>
      </c>
      <c r="K27" t="s">
        <v>77</v>
      </c>
      <c r="L27" t="s">
        <v>78</v>
      </c>
      <c r="M27">
        <v>48852</v>
      </c>
      <c r="N27">
        <v>531</v>
      </c>
      <c r="O27">
        <v>1.09E-2</v>
      </c>
      <c r="P27">
        <v>460.72</v>
      </c>
      <c r="Q27">
        <v>0.87</v>
      </c>
      <c r="R27">
        <v>1116</v>
      </c>
      <c r="S27">
        <v>40</v>
      </c>
      <c r="T27">
        <v>887.91</v>
      </c>
      <c r="U27">
        <v>0.51890000000000003</v>
      </c>
      <c r="V27">
        <v>1.9272</v>
      </c>
      <c r="W27">
        <v>29</v>
      </c>
      <c r="X27">
        <v>0.72499999999999998</v>
      </c>
      <c r="Y27">
        <v>666.07</v>
      </c>
      <c r="Z27">
        <v>0.75019999999999998</v>
      </c>
      <c r="AA27">
        <v>10304</v>
      </c>
      <c r="AB27">
        <v>44.71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</row>
    <row r="28" spans="1:36" x14ac:dyDescent="0.2">
      <c r="A28" t="s">
        <v>70</v>
      </c>
      <c r="B28" t="s">
        <v>109</v>
      </c>
      <c r="C28" t="s">
        <v>72</v>
      </c>
      <c r="D28" t="s">
        <v>95</v>
      </c>
      <c r="E28" t="s">
        <v>96</v>
      </c>
      <c r="G28" s="1">
        <v>45484</v>
      </c>
      <c r="J28">
        <v>4</v>
      </c>
      <c r="K28" s="2">
        <v>5.2785711703242998E-2</v>
      </c>
      <c r="L28" t="s">
        <v>78</v>
      </c>
      <c r="M28">
        <v>13795</v>
      </c>
      <c r="N28">
        <v>127</v>
      </c>
      <c r="O28">
        <v>9.1999999999999998E-3</v>
      </c>
      <c r="P28">
        <v>99.9</v>
      </c>
      <c r="Q28">
        <v>0.79</v>
      </c>
      <c r="R28">
        <v>219</v>
      </c>
      <c r="S28">
        <v>22</v>
      </c>
      <c r="T28">
        <v>361.03</v>
      </c>
      <c r="U28">
        <v>0.2767</v>
      </c>
      <c r="V28">
        <v>3.6139000000000001</v>
      </c>
      <c r="W28">
        <v>21</v>
      </c>
      <c r="X28">
        <v>0.95450000000000002</v>
      </c>
      <c r="Y28">
        <v>344.62</v>
      </c>
      <c r="Z28">
        <v>0.95450000000000002</v>
      </c>
      <c r="AA28">
        <v>2345</v>
      </c>
      <c r="AB28">
        <v>42.6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</row>
    <row r="29" spans="1:36" x14ac:dyDescent="0.2">
      <c r="A29" t="s">
        <v>70</v>
      </c>
      <c r="B29" t="s">
        <v>110</v>
      </c>
      <c r="C29" t="s">
        <v>72</v>
      </c>
      <c r="D29" t="s">
        <v>95</v>
      </c>
      <c r="E29" t="s">
        <v>96</v>
      </c>
      <c r="G29" s="1">
        <v>45484</v>
      </c>
      <c r="J29">
        <v>4</v>
      </c>
      <c r="K29" t="s">
        <v>77</v>
      </c>
      <c r="L29" t="s">
        <v>78</v>
      </c>
      <c r="M29">
        <v>59511</v>
      </c>
      <c r="N29">
        <v>63</v>
      </c>
      <c r="O29">
        <v>1.1000000000000001E-3</v>
      </c>
      <c r="P29">
        <v>54.52</v>
      </c>
      <c r="Q29">
        <v>0.87</v>
      </c>
      <c r="R29">
        <v>84</v>
      </c>
      <c r="S29">
        <v>2</v>
      </c>
      <c r="T29">
        <v>94.41</v>
      </c>
      <c r="U29">
        <v>0.57750000000000001</v>
      </c>
      <c r="V29">
        <v>1.7317</v>
      </c>
      <c r="W29">
        <v>2</v>
      </c>
      <c r="X29">
        <v>1</v>
      </c>
      <c r="Y29">
        <v>94.41</v>
      </c>
      <c r="Z29">
        <v>1</v>
      </c>
      <c r="AA29">
        <v>1920</v>
      </c>
      <c r="AB29">
        <v>28.4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</row>
    <row r="30" spans="1:36" x14ac:dyDescent="0.2">
      <c r="A30" t="s">
        <v>70</v>
      </c>
      <c r="B30" t="s">
        <v>111</v>
      </c>
      <c r="C30" t="s">
        <v>72</v>
      </c>
      <c r="D30" t="s">
        <v>95</v>
      </c>
      <c r="E30" t="s">
        <v>96</v>
      </c>
      <c r="G30" s="1">
        <v>45423</v>
      </c>
      <c r="J30">
        <v>10</v>
      </c>
      <c r="K30" t="s">
        <v>77</v>
      </c>
      <c r="L30" t="s">
        <v>78</v>
      </c>
      <c r="M30">
        <v>23468</v>
      </c>
      <c r="N30">
        <v>479</v>
      </c>
      <c r="O30">
        <v>2.0400000000000001E-2</v>
      </c>
      <c r="P30">
        <v>320.36</v>
      </c>
      <c r="Q30">
        <v>0.67</v>
      </c>
      <c r="R30">
        <v>597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6388</v>
      </c>
      <c r="AB30">
        <v>50.15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</row>
    <row r="31" spans="1:36" x14ac:dyDescent="0.2">
      <c r="A31" t="s">
        <v>100</v>
      </c>
      <c r="B31" t="s">
        <v>112</v>
      </c>
      <c r="C31" t="s">
        <v>102</v>
      </c>
      <c r="D31" t="s">
        <v>95</v>
      </c>
      <c r="E31" t="s">
        <v>96</v>
      </c>
      <c r="G31" s="1">
        <v>45423</v>
      </c>
      <c r="J31">
        <v>35</v>
      </c>
      <c r="L31" t="s">
        <v>78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</row>
    <row r="32" spans="1:36" x14ac:dyDescent="0.2">
      <c r="A32" t="s">
        <v>70</v>
      </c>
      <c r="B32" t="s">
        <v>113</v>
      </c>
      <c r="C32" t="s">
        <v>72</v>
      </c>
      <c r="D32" t="s">
        <v>95</v>
      </c>
      <c r="E32" t="s">
        <v>96</v>
      </c>
      <c r="G32" s="1">
        <v>45423</v>
      </c>
      <c r="J32">
        <v>4</v>
      </c>
      <c r="K32" t="s">
        <v>77</v>
      </c>
      <c r="L32" t="s">
        <v>78</v>
      </c>
      <c r="M32">
        <v>14640</v>
      </c>
      <c r="N32">
        <v>152</v>
      </c>
      <c r="O32">
        <v>1.04E-2</v>
      </c>
      <c r="P32">
        <v>130.97999999999999</v>
      </c>
      <c r="Q32">
        <v>0.86</v>
      </c>
      <c r="R32">
        <v>239</v>
      </c>
      <c r="S32">
        <v>9</v>
      </c>
      <c r="T32">
        <v>176.01</v>
      </c>
      <c r="U32">
        <v>0.74419999999999997</v>
      </c>
      <c r="V32">
        <v>1.3438000000000001</v>
      </c>
      <c r="W32">
        <v>9</v>
      </c>
      <c r="X32">
        <v>1</v>
      </c>
      <c r="Y32">
        <v>176.01</v>
      </c>
      <c r="Z32">
        <v>1</v>
      </c>
      <c r="AA32">
        <v>2588</v>
      </c>
      <c r="AB32">
        <v>50.61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</row>
    <row r="33" spans="1:36" x14ac:dyDescent="0.2">
      <c r="A33" t="s">
        <v>70</v>
      </c>
      <c r="B33" t="s">
        <v>114</v>
      </c>
      <c r="C33" t="s">
        <v>72</v>
      </c>
      <c r="D33" t="s">
        <v>95</v>
      </c>
      <c r="E33" t="s">
        <v>96</v>
      </c>
      <c r="G33" s="1">
        <v>45423</v>
      </c>
      <c r="J33">
        <v>4</v>
      </c>
      <c r="K33" s="2">
        <v>6.8365086397873198E-2</v>
      </c>
      <c r="L33" t="s">
        <v>78</v>
      </c>
      <c r="M33">
        <v>13001</v>
      </c>
      <c r="N33">
        <v>138</v>
      </c>
      <c r="O33">
        <v>1.06E-2</v>
      </c>
      <c r="P33">
        <v>91.35</v>
      </c>
      <c r="Q33">
        <v>0.66</v>
      </c>
      <c r="R33">
        <v>226</v>
      </c>
      <c r="S33">
        <v>6</v>
      </c>
      <c r="T33">
        <v>268.60000000000002</v>
      </c>
      <c r="U33">
        <v>0.34010000000000001</v>
      </c>
      <c r="V33">
        <v>2.9403000000000001</v>
      </c>
      <c r="W33">
        <v>5</v>
      </c>
      <c r="X33">
        <v>0.83330000000000004</v>
      </c>
      <c r="Y33">
        <v>240.76</v>
      </c>
      <c r="Z33">
        <v>0.89639999999999997</v>
      </c>
      <c r="AA33">
        <v>3036</v>
      </c>
      <c r="AB33">
        <v>30.09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</row>
    <row r="34" spans="1:36" x14ac:dyDescent="0.2">
      <c r="A34" t="s">
        <v>70</v>
      </c>
      <c r="B34" t="s">
        <v>115</v>
      </c>
      <c r="C34" t="s">
        <v>72</v>
      </c>
      <c r="D34" t="s">
        <v>73</v>
      </c>
      <c r="E34" t="s">
        <v>96</v>
      </c>
      <c r="F34" t="s">
        <v>116</v>
      </c>
      <c r="G34" s="1">
        <v>44937</v>
      </c>
      <c r="J34">
        <v>10</v>
      </c>
      <c r="L34" t="s">
        <v>78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</row>
    <row r="35" spans="1:36" x14ac:dyDescent="0.2">
      <c r="A35" t="s">
        <v>70</v>
      </c>
      <c r="B35" t="s">
        <v>117</v>
      </c>
      <c r="C35" t="s">
        <v>72</v>
      </c>
      <c r="D35" t="s">
        <v>73</v>
      </c>
      <c r="E35" t="s">
        <v>74</v>
      </c>
      <c r="F35" t="s">
        <v>116</v>
      </c>
      <c r="G35" s="1">
        <v>44937</v>
      </c>
      <c r="J35">
        <v>10</v>
      </c>
      <c r="L35" t="s">
        <v>78</v>
      </c>
      <c r="M35">
        <v>2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</row>
    <row r="36" spans="1:36" x14ac:dyDescent="0.2">
      <c r="A36" t="s">
        <v>100</v>
      </c>
      <c r="B36" t="s">
        <v>118</v>
      </c>
      <c r="C36" t="s">
        <v>102</v>
      </c>
      <c r="D36" t="s">
        <v>73</v>
      </c>
      <c r="E36" t="s">
        <v>96</v>
      </c>
      <c r="F36" t="s">
        <v>116</v>
      </c>
      <c r="G36" t="s">
        <v>119</v>
      </c>
      <c r="I36" t="s">
        <v>120</v>
      </c>
      <c r="J36">
        <v>12.5</v>
      </c>
      <c r="L36" t="s">
        <v>78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</row>
    <row r="37" spans="1:36" x14ac:dyDescent="0.2">
      <c r="A37" t="s">
        <v>70</v>
      </c>
      <c r="B37" t="s">
        <v>121</v>
      </c>
      <c r="C37" t="s">
        <v>72</v>
      </c>
      <c r="D37" t="s">
        <v>73</v>
      </c>
      <c r="E37" t="s">
        <v>74</v>
      </c>
      <c r="F37" t="s">
        <v>116</v>
      </c>
      <c r="G37" t="s">
        <v>119</v>
      </c>
      <c r="J37">
        <v>16</v>
      </c>
      <c r="K37" t="s">
        <v>77</v>
      </c>
      <c r="L37" t="s">
        <v>78</v>
      </c>
      <c r="M37">
        <v>59376</v>
      </c>
      <c r="N37">
        <v>691</v>
      </c>
      <c r="O37">
        <v>1.1599999999999999E-2</v>
      </c>
      <c r="P37">
        <v>121.57</v>
      </c>
      <c r="Q37">
        <v>0.18</v>
      </c>
      <c r="R37">
        <v>0</v>
      </c>
      <c r="S37">
        <v>52</v>
      </c>
      <c r="T37">
        <v>906.05</v>
      </c>
      <c r="U37">
        <v>0.13420000000000001</v>
      </c>
      <c r="V37">
        <v>7.4528999999999996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</row>
    <row r="38" spans="1:36" x14ac:dyDescent="0.2">
      <c r="A38" t="s">
        <v>70</v>
      </c>
      <c r="B38" t="s">
        <v>122</v>
      </c>
      <c r="C38" t="s">
        <v>72</v>
      </c>
      <c r="D38" t="s">
        <v>73</v>
      </c>
      <c r="E38" t="s">
        <v>96</v>
      </c>
      <c r="F38" t="s">
        <v>116</v>
      </c>
      <c r="G38" t="s">
        <v>119</v>
      </c>
      <c r="J38">
        <v>22</v>
      </c>
      <c r="K38" t="s">
        <v>77</v>
      </c>
      <c r="L38" t="s">
        <v>78</v>
      </c>
      <c r="M38">
        <v>138646</v>
      </c>
      <c r="N38">
        <v>902</v>
      </c>
      <c r="O38">
        <v>6.4999999999999997E-3</v>
      </c>
      <c r="P38">
        <v>337.8</v>
      </c>
      <c r="Q38">
        <v>0.37</v>
      </c>
      <c r="R38">
        <v>0</v>
      </c>
      <c r="S38">
        <v>64</v>
      </c>
      <c r="T38">
        <v>1540.39</v>
      </c>
      <c r="U38">
        <v>0.21929999999999999</v>
      </c>
      <c r="V38">
        <v>4.5601000000000003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</row>
    <row r="39" spans="1:36" x14ac:dyDescent="0.2">
      <c r="A39" t="s">
        <v>70</v>
      </c>
      <c r="B39" t="s">
        <v>123</v>
      </c>
      <c r="C39" t="s">
        <v>72</v>
      </c>
      <c r="D39" t="s">
        <v>73</v>
      </c>
      <c r="E39" t="s">
        <v>96</v>
      </c>
      <c r="F39" t="s">
        <v>116</v>
      </c>
      <c r="G39" t="s">
        <v>119</v>
      </c>
      <c r="J39">
        <v>54</v>
      </c>
      <c r="K39" t="s">
        <v>77</v>
      </c>
      <c r="L39" t="s">
        <v>78</v>
      </c>
      <c r="M39">
        <v>91070</v>
      </c>
      <c r="N39">
        <v>969</v>
      </c>
      <c r="O39">
        <v>1.06E-2</v>
      </c>
      <c r="P39">
        <v>465.99</v>
      </c>
      <c r="Q39">
        <v>0.48</v>
      </c>
      <c r="R39">
        <v>0</v>
      </c>
      <c r="S39">
        <v>139</v>
      </c>
      <c r="T39">
        <v>2390.64</v>
      </c>
      <c r="U39">
        <v>0.19489999999999999</v>
      </c>
      <c r="V39">
        <v>5.1302000000000003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</row>
    <row r="40" spans="1:36" x14ac:dyDescent="0.2">
      <c r="A40" t="s">
        <v>70</v>
      </c>
      <c r="B40" t="s">
        <v>124</v>
      </c>
      <c r="C40" t="s">
        <v>72</v>
      </c>
      <c r="D40" t="s">
        <v>73</v>
      </c>
      <c r="E40" t="s">
        <v>96</v>
      </c>
      <c r="F40" t="s">
        <v>75</v>
      </c>
      <c r="G40" t="s">
        <v>125</v>
      </c>
      <c r="I40" t="s">
        <v>126</v>
      </c>
      <c r="J40">
        <v>12</v>
      </c>
      <c r="K40" t="s">
        <v>77</v>
      </c>
      <c r="L40" t="s">
        <v>78</v>
      </c>
      <c r="M40">
        <v>32216</v>
      </c>
      <c r="N40">
        <v>330</v>
      </c>
      <c r="O40">
        <v>1.0200000000000001E-2</v>
      </c>
      <c r="P40">
        <v>140.57</v>
      </c>
      <c r="Q40">
        <v>0.43</v>
      </c>
      <c r="R40">
        <v>0</v>
      </c>
      <c r="S40">
        <v>10</v>
      </c>
      <c r="T40">
        <v>1572.96</v>
      </c>
      <c r="U40">
        <v>8.9399999999999993E-2</v>
      </c>
      <c r="V40">
        <v>11.1899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</row>
    <row r="41" spans="1:36" x14ac:dyDescent="0.2">
      <c r="A41" t="s">
        <v>70</v>
      </c>
      <c r="B41" t="s">
        <v>127</v>
      </c>
      <c r="C41" t="s">
        <v>72</v>
      </c>
      <c r="D41" t="s">
        <v>73</v>
      </c>
      <c r="E41" t="s">
        <v>96</v>
      </c>
      <c r="F41" t="s">
        <v>116</v>
      </c>
      <c r="G41" t="s">
        <v>125</v>
      </c>
      <c r="I41" t="s">
        <v>128</v>
      </c>
      <c r="J41">
        <v>24</v>
      </c>
      <c r="K41" t="s">
        <v>77</v>
      </c>
      <c r="L41" t="s">
        <v>78</v>
      </c>
      <c r="M41">
        <v>21460</v>
      </c>
      <c r="N41">
        <v>216</v>
      </c>
      <c r="O41">
        <v>1.01E-2</v>
      </c>
      <c r="P41">
        <v>120.5</v>
      </c>
      <c r="Q41">
        <v>0.56000000000000005</v>
      </c>
      <c r="R41">
        <v>0</v>
      </c>
      <c r="S41">
        <v>13</v>
      </c>
      <c r="T41">
        <v>278.25</v>
      </c>
      <c r="U41">
        <v>0.43309999999999998</v>
      </c>
      <c r="V41">
        <v>2.3090999999999999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</row>
    <row r="42" spans="1:36" x14ac:dyDescent="0.2">
      <c r="A42" t="s">
        <v>70</v>
      </c>
      <c r="B42" t="s">
        <v>129</v>
      </c>
      <c r="C42" t="s">
        <v>72</v>
      </c>
      <c r="D42" t="s">
        <v>73</v>
      </c>
      <c r="E42" t="s">
        <v>96</v>
      </c>
      <c r="F42" t="s">
        <v>116</v>
      </c>
      <c r="G42" t="s">
        <v>125</v>
      </c>
      <c r="J42">
        <v>29</v>
      </c>
      <c r="K42" t="s">
        <v>77</v>
      </c>
      <c r="L42" t="s">
        <v>78</v>
      </c>
      <c r="M42">
        <v>986</v>
      </c>
      <c r="N42">
        <v>5</v>
      </c>
      <c r="O42">
        <v>5.1000000000000004E-3</v>
      </c>
      <c r="P42">
        <v>3.23</v>
      </c>
      <c r="Q42">
        <v>0.65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</row>
    <row r="43" spans="1:36" x14ac:dyDescent="0.2">
      <c r="A43" t="s">
        <v>100</v>
      </c>
      <c r="B43" t="s">
        <v>130</v>
      </c>
      <c r="C43" t="s">
        <v>102</v>
      </c>
      <c r="D43" t="s">
        <v>73</v>
      </c>
      <c r="E43" t="s">
        <v>96</v>
      </c>
      <c r="F43" t="s">
        <v>116</v>
      </c>
      <c r="G43" s="1">
        <v>45179</v>
      </c>
      <c r="J43">
        <v>37</v>
      </c>
      <c r="L43" t="s">
        <v>78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</row>
    <row r="44" spans="1:36" x14ac:dyDescent="0.2">
      <c r="A44" t="s">
        <v>70</v>
      </c>
      <c r="B44" t="s">
        <v>131</v>
      </c>
      <c r="C44" t="s">
        <v>72</v>
      </c>
      <c r="D44" t="s">
        <v>95</v>
      </c>
      <c r="E44" t="s">
        <v>96</v>
      </c>
      <c r="G44" s="1">
        <v>45179</v>
      </c>
      <c r="J44">
        <v>4.2</v>
      </c>
      <c r="K44" t="s">
        <v>77</v>
      </c>
      <c r="L44" t="s">
        <v>78</v>
      </c>
      <c r="M44">
        <v>54926</v>
      </c>
      <c r="N44">
        <v>466</v>
      </c>
      <c r="O44">
        <v>8.5000000000000006E-3</v>
      </c>
      <c r="P44">
        <v>134.58000000000001</v>
      </c>
      <c r="Q44">
        <v>0.28999999999999998</v>
      </c>
      <c r="R44">
        <v>605</v>
      </c>
      <c r="S44">
        <v>8</v>
      </c>
      <c r="T44">
        <v>788.73</v>
      </c>
      <c r="U44">
        <v>0.1706</v>
      </c>
      <c r="V44">
        <v>5.8606999999999996</v>
      </c>
      <c r="W44">
        <v>8</v>
      </c>
      <c r="X44">
        <v>1</v>
      </c>
      <c r="Y44">
        <v>788.73</v>
      </c>
      <c r="Z44">
        <v>1</v>
      </c>
      <c r="AA44">
        <v>15396</v>
      </c>
      <c r="AB44">
        <v>8.74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</row>
    <row r="45" spans="1:36" x14ac:dyDescent="0.2">
      <c r="A45" t="s">
        <v>70</v>
      </c>
      <c r="B45" t="s">
        <v>132</v>
      </c>
      <c r="C45" t="s">
        <v>72</v>
      </c>
      <c r="D45" t="s">
        <v>95</v>
      </c>
      <c r="E45" t="s">
        <v>96</v>
      </c>
      <c r="G45" s="1">
        <v>45179</v>
      </c>
      <c r="J45">
        <v>28</v>
      </c>
      <c r="K45" t="s">
        <v>77</v>
      </c>
      <c r="L45" t="s">
        <v>78</v>
      </c>
      <c r="M45">
        <v>982233</v>
      </c>
      <c r="N45">
        <v>8173</v>
      </c>
      <c r="O45">
        <v>8.3000000000000001E-3</v>
      </c>
      <c r="P45">
        <v>1127.96</v>
      </c>
      <c r="Q45">
        <v>0.14000000000000001</v>
      </c>
      <c r="R45">
        <v>7476</v>
      </c>
      <c r="S45">
        <v>64</v>
      </c>
      <c r="T45">
        <v>7006.6</v>
      </c>
      <c r="U45">
        <v>0.161</v>
      </c>
      <c r="V45">
        <v>6.2117000000000004</v>
      </c>
      <c r="W45">
        <v>46</v>
      </c>
      <c r="X45">
        <v>0.71879999999999999</v>
      </c>
      <c r="Y45">
        <v>6121.84</v>
      </c>
      <c r="Z45">
        <v>0.87370000000000003</v>
      </c>
      <c r="AA45">
        <v>322050</v>
      </c>
      <c r="AB45">
        <v>3.5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</row>
    <row r="46" spans="1:36" x14ac:dyDescent="0.2">
      <c r="A46" t="s">
        <v>70</v>
      </c>
      <c r="B46" t="s">
        <v>133</v>
      </c>
      <c r="C46" t="s">
        <v>72</v>
      </c>
      <c r="D46" t="s">
        <v>95</v>
      </c>
      <c r="E46" t="s">
        <v>96</v>
      </c>
      <c r="G46" s="1">
        <v>45179</v>
      </c>
      <c r="I46" t="s">
        <v>134</v>
      </c>
      <c r="J46">
        <v>12</v>
      </c>
      <c r="K46" t="s">
        <v>77</v>
      </c>
      <c r="L46" t="s">
        <v>78</v>
      </c>
      <c r="M46">
        <v>331786</v>
      </c>
      <c r="N46">
        <v>2252</v>
      </c>
      <c r="O46">
        <v>6.7999999999999996E-3</v>
      </c>
      <c r="P46">
        <v>439.56</v>
      </c>
      <c r="Q46">
        <v>0.2</v>
      </c>
      <c r="R46">
        <v>2180</v>
      </c>
      <c r="S46">
        <v>10</v>
      </c>
      <c r="T46">
        <v>1461.34</v>
      </c>
      <c r="U46">
        <v>0.30080000000000001</v>
      </c>
      <c r="V46">
        <v>3.3246000000000002</v>
      </c>
      <c r="W46">
        <v>8</v>
      </c>
      <c r="X46">
        <v>0.8</v>
      </c>
      <c r="Y46">
        <v>1367.22</v>
      </c>
      <c r="Z46">
        <v>0.93559999999999999</v>
      </c>
      <c r="AA46">
        <v>103135</v>
      </c>
      <c r="AB46">
        <v>4.26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</row>
    <row r="47" spans="1:36" x14ac:dyDescent="0.2">
      <c r="A47" t="s">
        <v>70</v>
      </c>
      <c r="B47" t="s">
        <v>135</v>
      </c>
      <c r="C47" t="s">
        <v>72</v>
      </c>
      <c r="D47" t="s">
        <v>73</v>
      </c>
      <c r="E47" t="s">
        <v>96</v>
      </c>
      <c r="F47" t="s">
        <v>116</v>
      </c>
      <c r="G47" t="s">
        <v>136</v>
      </c>
      <c r="J47">
        <v>8</v>
      </c>
      <c r="L47" t="s">
        <v>78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</row>
    <row r="48" spans="1:36" x14ac:dyDescent="0.2">
      <c r="A48" t="s">
        <v>70</v>
      </c>
      <c r="B48" t="s">
        <v>137</v>
      </c>
      <c r="C48" t="s">
        <v>72</v>
      </c>
      <c r="D48" t="s">
        <v>73</v>
      </c>
      <c r="E48" t="s">
        <v>96</v>
      </c>
      <c r="F48" t="s">
        <v>75</v>
      </c>
      <c r="G48" t="s">
        <v>136</v>
      </c>
      <c r="J48">
        <v>7</v>
      </c>
      <c r="K48" t="s">
        <v>77</v>
      </c>
      <c r="L48" t="s">
        <v>78</v>
      </c>
      <c r="M48">
        <v>1144</v>
      </c>
      <c r="N48">
        <v>17</v>
      </c>
      <c r="O48">
        <v>1.49E-2</v>
      </c>
      <c r="P48">
        <v>7.73</v>
      </c>
      <c r="Q48">
        <v>0.45</v>
      </c>
      <c r="R48">
        <v>0</v>
      </c>
      <c r="S48">
        <v>3</v>
      </c>
      <c r="T48">
        <v>59.85</v>
      </c>
      <c r="U48">
        <v>0.12920000000000001</v>
      </c>
      <c r="V48">
        <v>7.7426000000000004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</row>
    <row r="49" spans="1:36" x14ac:dyDescent="0.2">
      <c r="A49" t="s">
        <v>70</v>
      </c>
      <c r="B49" t="s">
        <v>138</v>
      </c>
      <c r="C49" t="s">
        <v>72</v>
      </c>
      <c r="D49" t="s">
        <v>73</v>
      </c>
      <c r="E49" t="s">
        <v>96</v>
      </c>
      <c r="F49" t="s">
        <v>116</v>
      </c>
      <c r="G49" t="s">
        <v>136</v>
      </c>
      <c r="J49">
        <v>8</v>
      </c>
      <c r="K49" s="2">
        <v>0.13529411764705801</v>
      </c>
      <c r="L49" t="s">
        <v>78</v>
      </c>
      <c r="M49">
        <v>842</v>
      </c>
      <c r="N49">
        <v>6</v>
      </c>
      <c r="O49">
        <v>7.1000000000000004E-3</v>
      </c>
      <c r="P49">
        <v>4.3899999999999997</v>
      </c>
      <c r="Q49">
        <v>0.73</v>
      </c>
      <c r="R49">
        <v>0</v>
      </c>
      <c r="S49">
        <v>1</v>
      </c>
      <c r="T49">
        <v>19.95</v>
      </c>
      <c r="U49">
        <v>0.22009999999999999</v>
      </c>
      <c r="V49">
        <v>4.5444000000000004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</row>
    <row r="50" spans="1:36" x14ac:dyDescent="0.2">
      <c r="A50" t="s">
        <v>100</v>
      </c>
      <c r="B50" t="s">
        <v>139</v>
      </c>
      <c r="C50" t="s">
        <v>102</v>
      </c>
      <c r="D50" t="s">
        <v>73</v>
      </c>
      <c r="E50" t="s">
        <v>96</v>
      </c>
      <c r="F50" t="s">
        <v>116</v>
      </c>
      <c r="G50" t="s">
        <v>136</v>
      </c>
      <c r="J50">
        <v>15</v>
      </c>
      <c r="L50" t="s">
        <v>78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</row>
    <row r="51" spans="1:36" x14ac:dyDescent="0.2">
      <c r="A51" t="s">
        <v>100</v>
      </c>
      <c r="B51" t="s">
        <v>140</v>
      </c>
      <c r="C51" t="s">
        <v>102</v>
      </c>
      <c r="D51" t="s">
        <v>73</v>
      </c>
      <c r="E51" t="s">
        <v>96</v>
      </c>
      <c r="F51" t="s">
        <v>141</v>
      </c>
      <c r="G51" t="s">
        <v>136</v>
      </c>
      <c r="I51" t="s">
        <v>142</v>
      </c>
      <c r="J51">
        <v>18</v>
      </c>
      <c r="L51" t="s">
        <v>78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</row>
    <row r="52" spans="1:36" x14ac:dyDescent="0.2">
      <c r="A52" t="s">
        <v>70</v>
      </c>
      <c r="B52" t="s">
        <v>143</v>
      </c>
      <c r="C52" t="s">
        <v>72</v>
      </c>
      <c r="D52" t="s">
        <v>73</v>
      </c>
      <c r="E52" t="s">
        <v>96</v>
      </c>
      <c r="F52" t="s">
        <v>75</v>
      </c>
      <c r="G52" t="s">
        <v>144</v>
      </c>
      <c r="I52" t="s">
        <v>126</v>
      </c>
      <c r="J52">
        <v>15</v>
      </c>
      <c r="K52" s="2">
        <v>0.14077952297847501</v>
      </c>
      <c r="L52" t="s">
        <v>78</v>
      </c>
      <c r="M52">
        <v>8917</v>
      </c>
      <c r="N52">
        <v>86</v>
      </c>
      <c r="O52">
        <v>9.5999999999999992E-3</v>
      </c>
      <c r="P52">
        <v>54.61</v>
      </c>
      <c r="Q52">
        <v>0.64</v>
      </c>
      <c r="R52">
        <v>0</v>
      </c>
      <c r="S52">
        <v>2</v>
      </c>
      <c r="T52">
        <v>240.64</v>
      </c>
      <c r="U52">
        <v>0.22689999999999999</v>
      </c>
      <c r="V52">
        <v>4.4065000000000003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</row>
    <row r="53" spans="1:36" x14ac:dyDescent="0.2">
      <c r="A53" t="s">
        <v>70</v>
      </c>
      <c r="B53" t="s">
        <v>145</v>
      </c>
      <c r="C53" t="s">
        <v>72</v>
      </c>
      <c r="D53" t="s">
        <v>73</v>
      </c>
      <c r="E53" t="s">
        <v>96</v>
      </c>
      <c r="F53" t="s">
        <v>75</v>
      </c>
      <c r="G53" t="s">
        <v>146</v>
      </c>
      <c r="I53" t="s">
        <v>147</v>
      </c>
      <c r="J53">
        <v>8</v>
      </c>
      <c r="K53" t="s">
        <v>77</v>
      </c>
      <c r="L53" t="s">
        <v>78</v>
      </c>
      <c r="M53">
        <v>2767</v>
      </c>
      <c r="N53">
        <v>14</v>
      </c>
      <c r="O53">
        <v>5.1000000000000004E-3</v>
      </c>
      <c r="P53">
        <v>3.16</v>
      </c>
      <c r="Q53">
        <v>0.23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</row>
    <row r="54" spans="1:36" x14ac:dyDescent="0.2">
      <c r="A54" t="s">
        <v>70</v>
      </c>
      <c r="B54" t="s">
        <v>148</v>
      </c>
      <c r="C54" t="s">
        <v>72</v>
      </c>
      <c r="D54" t="s">
        <v>73</v>
      </c>
      <c r="E54" t="s">
        <v>96</v>
      </c>
      <c r="F54" t="s">
        <v>75</v>
      </c>
      <c r="G54" t="s">
        <v>146</v>
      </c>
      <c r="I54" t="s">
        <v>149</v>
      </c>
      <c r="J54">
        <v>8</v>
      </c>
      <c r="K54" t="s">
        <v>77</v>
      </c>
      <c r="L54" t="s">
        <v>78</v>
      </c>
      <c r="M54">
        <v>12752</v>
      </c>
      <c r="N54">
        <v>83</v>
      </c>
      <c r="O54">
        <v>6.4999999999999997E-3</v>
      </c>
      <c r="P54">
        <v>22.14</v>
      </c>
      <c r="Q54">
        <v>0.27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</row>
    <row r="55" spans="1:36" x14ac:dyDescent="0.2">
      <c r="A55" t="s">
        <v>70</v>
      </c>
      <c r="B55" t="s">
        <v>150</v>
      </c>
      <c r="C55" t="s">
        <v>72</v>
      </c>
      <c r="D55" t="s">
        <v>73</v>
      </c>
      <c r="E55" t="s">
        <v>96</v>
      </c>
      <c r="F55" t="s">
        <v>75</v>
      </c>
      <c r="G55" t="s">
        <v>146</v>
      </c>
      <c r="I55" t="s">
        <v>151</v>
      </c>
      <c r="J55">
        <v>8</v>
      </c>
      <c r="L55" t="s">
        <v>78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</row>
    <row r="56" spans="1:36" x14ac:dyDescent="0.2">
      <c r="A56" t="s">
        <v>70</v>
      </c>
      <c r="B56" t="s">
        <v>152</v>
      </c>
      <c r="C56" t="s">
        <v>72</v>
      </c>
      <c r="D56" t="s">
        <v>73</v>
      </c>
      <c r="E56" t="s">
        <v>96</v>
      </c>
      <c r="F56" t="s">
        <v>75</v>
      </c>
      <c r="G56" t="s">
        <v>146</v>
      </c>
      <c r="I56" t="s">
        <v>153</v>
      </c>
      <c r="J56">
        <v>8</v>
      </c>
      <c r="K56" t="s">
        <v>77</v>
      </c>
      <c r="L56" t="s">
        <v>78</v>
      </c>
      <c r="M56">
        <v>5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</row>
    <row r="57" spans="1:36" x14ac:dyDescent="0.2">
      <c r="A57" t="s">
        <v>100</v>
      </c>
      <c r="B57" t="s">
        <v>154</v>
      </c>
      <c r="C57" t="s">
        <v>102</v>
      </c>
      <c r="D57" t="s">
        <v>73</v>
      </c>
      <c r="E57" t="s">
        <v>96</v>
      </c>
      <c r="F57" t="s">
        <v>75</v>
      </c>
      <c r="G57" t="s">
        <v>146</v>
      </c>
      <c r="I57" t="s">
        <v>155</v>
      </c>
      <c r="J57">
        <v>15</v>
      </c>
      <c r="L57" t="s">
        <v>78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</row>
    <row r="58" spans="1:36" x14ac:dyDescent="0.2">
      <c r="A58" t="s">
        <v>70</v>
      </c>
      <c r="B58" t="s">
        <v>156</v>
      </c>
      <c r="C58" t="s">
        <v>72</v>
      </c>
      <c r="D58" t="s">
        <v>73</v>
      </c>
      <c r="E58" t="s">
        <v>96</v>
      </c>
      <c r="F58" t="s">
        <v>75</v>
      </c>
      <c r="G58" t="s">
        <v>146</v>
      </c>
      <c r="I58" t="s">
        <v>157</v>
      </c>
      <c r="J58">
        <v>8</v>
      </c>
      <c r="K58" t="s">
        <v>77</v>
      </c>
      <c r="L58" t="s">
        <v>78</v>
      </c>
      <c r="M58">
        <v>20053</v>
      </c>
      <c r="N58">
        <v>32</v>
      </c>
      <c r="O58">
        <v>1.6000000000000001E-3</v>
      </c>
      <c r="P58">
        <v>6.6</v>
      </c>
      <c r="Q58">
        <v>0.21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</row>
    <row r="59" spans="1:36" x14ac:dyDescent="0.2">
      <c r="A59" t="s">
        <v>100</v>
      </c>
      <c r="B59" t="s">
        <v>158</v>
      </c>
      <c r="C59" t="s">
        <v>102</v>
      </c>
      <c r="D59" t="s">
        <v>73</v>
      </c>
      <c r="E59" t="s">
        <v>96</v>
      </c>
      <c r="F59" t="s">
        <v>75</v>
      </c>
      <c r="G59" t="s">
        <v>146</v>
      </c>
      <c r="I59" t="s">
        <v>120</v>
      </c>
      <c r="J59">
        <v>8</v>
      </c>
      <c r="L59" t="s">
        <v>78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</row>
    <row r="60" spans="1:36" x14ac:dyDescent="0.2">
      <c r="A60" t="s">
        <v>70</v>
      </c>
      <c r="B60" t="s">
        <v>159</v>
      </c>
      <c r="C60" t="s">
        <v>72</v>
      </c>
      <c r="D60" t="s">
        <v>73</v>
      </c>
      <c r="E60" t="s">
        <v>96</v>
      </c>
      <c r="F60" t="s">
        <v>75</v>
      </c>
      <c r="G60" t="s">
        <v>146</v>
      </c>
      <c r="J60">
        <v>18</v>
      </c>
      <c r="K60" t="s">
        <v>77</v>
      </c>
      <c r="L60" t="s">
        <v>78</v>
      </c>
      <c r="M60">
        <v>34025</v>
      </c>
      <c r="N60">
        <v>467</v>
      </c>
      <c r="O60">
        <v>1.37E-2</v>
      </c>
      <c r="P60">
        <v>95.87</v>
      </c>
      <c r="Q60">
        <v>0.21</v>
      </c>
      <c r="R60">
        <v>0</v>
      </c>
      <c r="S60">
        <v>40</v>
      </c>
      <c r="T60">
        <v>637</v>
      </c>
      <c r="U60">
        <v>0.15049999999999999</v>
      </c>
      <c r="V60">
        <v>6.6444000000000001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</row>
    <row r="61" spans="1:36" x14ac:dyDescent="0.2">
      <c r="A61" t="s">
        <v>70</v>
      </c>
      <c r="B61" t="s">
        <v>160</v>
      </c>
      <c r="C61" t="s">
        <v>72</v>
      </c>
      <c r="D61" t="s">
        <v>73</v>
      </c>
      <c r="E61" t="s">
        <v>96</v>
      </c>
      <c r="F61" t="s">
        <v>75</v>
      </c>
      <c r="G61" t="s">
        <v>146</v>
      </c>
      <c r="J61">
        <v>8</v>
      </c>
      <c r="K61" t="s">
        <v>77</v>
      </c>
      <c r="L61" t="s">
        <v>78</v>
      </c>
      <c r="M61">
        <v>2951</v>
      </c>
      <c r="N61">
        <v>50</v>
      </c>
      <c r="O61">
        <v>1.6899999999999998E-2</v>
      </c>
      <c r="P61">
        <v>21.4</v>
      </c>
      <c r="Q61">
        <v>0.43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</row>
    <row r="62" spans="1:36" x14ac:dyDescent="0.2">
      <c r="A62" t="s">
        <v>70</v>
      </c>
      <c r="B62" t="s">
        <v>161</v>
      </c>
      <c r="C62" t="s">
        <v>72</v>
      </c>
      <c r="D62" t="s">
        <v>73</v>
      </c>
      <c r="E62" t="s">
        <v>96</v>
      </c>
      <c r="F62" t="s">
        <v>75</v>
      </c>
      <c r="G62" t="s">
        <v>146</v>
      </c>
      <c r="I62" t="s">
        <v>162</v>
      </c>
      <c r="J62">
        <v>8</v>
      </c>
      <c r="K62" t="s">
        <v>77</v>
      </c>
      <c r="L62" t="s">
        <v>78</v>
      </c>
      <c r="M62">
        <v>16040</v>
      </c>
      <c r="N62">
        <v>21</v>
      </c>
      <c r="O62">
        <v>1.2999999999999999E-3</v>
      </c>
      <c r="P62">
        <v>8.66</v>
      </c>
      <c r="Q62">
        <v>0.41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</row>
    <row r="63" spans="1:36" x14ac:dyDescent="0.2">
      <c r="A63" t="s">
        <v>70</v>
      </c>
      <c r="B63" t="s">
        <v>163</v>
      </c>
      <c r="C63" t="s">
        <v>72</v>
      </c>
      <c r="D63" t="s">
        <v>73</v>
      </c>
      <c r="E63" t="s">
        <v>96</v>
      </c>
      <c r="F63" t="s">
        <v>75</v>
      </c>
      <c r="G63" t="s">
        <v>146</v>
      </c>
      <c r="I63" t="s">
        <v>164</v>
      </c>
      <c r="J63">
        <v>8</v>
      </c>
      <c r="K63" t="s">
        <v>77</v>
      </c>
      <c r="L63" t="s">
        <v>78</v>
      </c>
      <c r="M63">
        <v>1918</v>
      </c>
      <c r="N63">
        <v>6</v>
      </c>
      <c r="O63">
        <v>3.0999999999999999E-3</v>
      </c>
      <c r="P63">
        <v>1.41</v>
      </c>
      <c r="Q63">
        <v>0.24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</row>
    <row r="64" spans="1:36" x14ac:dyDescent="0.2">
      <c r="A64" t="s">
        <v>70</v>
      </c>
      <c r="B64" t="s">
        <v>165</v>
      </c>
      <c r="C64" t="s">
        <v>72</v>
      </c>
      <c r="D64" t="s">
        <v>73</v>
      </c>
      <c r="E64" t="s">
        <v>96</v>
      </c>
      <c r="F64" t="s">
        <v>75</v>
      </c>
      <c r="G64" t="s">
        <v>146</v>
      </c>
      <c r="I64" t="s">
        <v>166</v>
      </c>
      <c r="J64">
        <v>8</v>
      </c>
      <c r="K64" t="s">
        <v>77</v>
      </c>
      <c r="L64" t="s">
        <v>78</v>
      </c>
      <c r="M64">
        <v>27774</v>
      </c>
      <c r="N64">
        <v>74</v>
      </c>
      <c r="O64">
        <v>2.7000000000000001E-3</v>
      </c>
      <c r="P64">
        <v>40.14</v>
      </c>
      <c r="Q64">
        <v>0.54</v>
      </c>
      <c r="R64">
        <v>0</v>
      </c>
      <c r="S64">
        <v>1</v>
      </c>
      <c r="T64">
        <v>230.38</v>
      </c>
      <c r="U64">
        <v>0.17419999999999999</v>
      </c>
      <c r="V64">
        <v>5.7393999999999998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</row>
    <row r="65" spans="1:36" x14ac:dyDescent="0.2">
      <c r="A65" t="s">
        <v>70</v>
      </c>
      <c r="B65" t="s">
        <v>167</v>
      </c>
      <c r="C65" t="s">
        <v>72</v>
      </c>
      <c r="D65" t="s">
        <v>73</v>
      </c>
      <c r="E65" t="s">
        <v>96</v>
      </c>
      <c r="F65" t="s">
        <v>75</v>
      </c>
      <c r="G65" t="s">
        <v>146</v>
      </c>
      <c r="I65" t="s">
        <v>142</v>
      </c>
      <c r="J65">
        <v>8</v>
      </c>
      <c r="L65" t="s">
        <v>78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</row>
    <row r="66" spans="1:36" x14ac:dyDescent="0.2">
      <c r="A66" t="s">
        <v>70</v>
      </c>
      <c r="B66" t="s">
        <v>168</v>
      </c>
      <c r="C66" t="s">
        <v>72</v>
      </c>
      <c r="D66" t="s">
        <v>73</v>
      </c>
      <c r="E66" t="s">
        <v>96</v>
      </c>
      <c r="F66" t="s">
        <v>75</v>
      </c>
      <c r="G66" t="s">
        <v>146</v>
      </c>
      <c r="I66" t="s">
        <v>169</v>
      </c>
      <c r="J66">
        <v>25</v>
      </c>
      <c r="K66" t="s">
        <v>77</v>
      </c>
      <c r="L66" t="s">
        <v>78</v>
      </c>
      <c r="M66">
        <v>2694</v>
      </c>
      <c r="N66">
        <v>38</v>
      </c>
      <c r="O66">
        <v>1.41E-2</v>
      </c>
      <c r="P66">
        <v>8.8699999999999992</v>
      </c>
      <c r="Q66">
        <v>0.23</v>
      </c>
      <c r="R66">
        <v>0</v>
      </c>
      <c r="S66">
        <v>3</v>
      </c>
      <c r="T66">
        <v>126.93</v>
      </c>
      <c r="U66">
        <v>6.9900000000000004E-2</v>
      </c>
      <c r="V66">
        <v>14.31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</row>
    <row r="67" spans="1:36" x14ac:dyDescent="0.2">
      <c r="A67" t="s">
        <v>70</v>
      </c>
      <c r="B67" t="s">
        <v>170</v>
      </c>
      <c r="C67" t="s">
        <v>72</v>
      </c>
      <c r="D67" t="s">
        <v>73</v>
      </c>
      <c r="E67" t="s">
        <v>96</v>
      </c>
      <c r="F67" t="s">
        <v>75</v>
      </c>
      <c r="G67" t="s">
        <v>146</v>
      </c>
      <c r="I67" t="s">
        <v>171</v>
      </c>
      <c r="J67">
        <v>14</v>
      </c>
      <c r="K67" t="s">
        <v>77</v>
      </c>
      <c r="L67" t="s">
        <v>78</v>
      </c>
      <c r="M67">
        <v>3812</v>
      </c>
      <c r="N67">
        <v>20</v>
      </c>
      <c r="O67">
        <v>5.1999999999999998E-3</v>
      </c>
      <c r="P67">
        <v>11.86</v>
      </c>
      <c r="Q67">
        <v>0.59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</row>
    <row r="68" spans="1:36" x14ac:dyDescent="0.2">
      <c r="A68" t="s">
        <v>70</v>
      </c>
      <c r="B68" t="s">
        <v>172</v>
      </c>
      <c r="C68" t="s">
        <v>72</v>
      </c>
      <c r="D68" t="s">
        <v>73</v>
      </c>
      <c r="E68" t="s">
        <v>96</v>
      </c>
      <c r="F68" t="s">
        <v>75</v>
      </c>
      <c r="G68" t="s">
        <v>146</v>
      </c>
      <c r="I68" t="s">
        <v>173</v>
      </c>
      <c r="J68">
        <v>8</v>
      </c>
      <c r="K68" t="s">
        <v>77</v>
      </c>
      <c r="L68" t="s">
        <v>78</v>
      </c>
      <c r="M68">
        <v>1150</v>
      </c>
      <c r="N68">
        <v>7</v>
      </c>
      <c r="O68">
        <v>6.1000000000000004E-3</v>
      </c>
      <c r="P68">
        <v>3.45</v>
      </c>
      <c r="Q68">
        <v>0.49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</row>
    <row r="69" spans="1:36" x14ac:dyDescent="0.2">
      <c r="A69" t="s">
        <v>70</v>
      </c>
      <c r="B69" t="s">
        <v>174</v>
      </c>
      <c r="C69" t="s">
        <v>72</v>
      </c>
      <c r="D69" t="s">
        <v>73</v>
      </c>
      <c r="E69" t="s">
        <v>96</v>
      </c>
      <c r="F69" t="s">
        <v>75</v>
      </c>
      <c r="G69" t="s">
        <v>146</v>
      </c>
      <c r="I69" t="s">
        <v>175</v>
      </c>
      <c r="J69">
        <v>8</v>
      </c>
      <c r="L69" t="s">
        <v>78</v>
      </c>
      <c r="M69">
        <v>1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</row>
    <row r="70" spans="1:36" x14ac:dyDescent="0.2">
      <c r="A70" t="s">
        <v>70</v>
      </c>
      <c r="B70" t="s">
        <v>176</v>
      </c>
      <c r="C70" t="s">
        <v>72</v>
      </c>
      <c r="D70" t="s">
        <v>73</v>
      </c>
      <c r="E70" t="s">
        <v>96</v>
      </c>
      <c r="F70" t="s">
        <v>75</v>
      </c>
      <c r="G70" t="s">
        <v>146</v>
      </c>
      <c r="I70" t="s">
        <v>177</v>
      </c>
      <c r="J70">
        <v>4.8</v>
      </c>
      <c r="K70" t="s">
        <v>77</v>
      </c>
      <c r="L70" t="s">
        <v>78</v>
      </c>
      <c r="M70">
        <v>781</v>
      </c>
      <c r="N70">
        <v>1</v>
      </c>
      <c r="O70">
        <v>1.2999999999999999E-3</v>
      </c>
      <c r="P70">
        <v>0.26</v>
      </c>
      <c r="Q70">
        <v>0.26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</row>
    <row r="71" spans="1:36" x14ac:dyDescent="0.2">
      <c r="A71" t="s">
        <v>70</v>
      </c>
      <c r="B71" t="s">
        <v>178</v>
      </c>
      <c r="C71" t="s">
        <v>72</v>
      </c>
      <c r="D71" t="s">
        <v>73</v>
      </c>
      <c r="E71" t="s">
        <v>96</v>
      </c>
      <c r="F71" t="s">
        <v>75</v>
      </c>
      <c r="G71" t="s">
        <v>146</v>
      </c>
      <c r="I71" t="s">
        <v>179</v>
      </c>
      <c r="J71">
        <v>8</v>
      </c>
      <c r="K71" t="s">
        <v>77</v>
      </c>
      <c r="L71" t="s">
        <v>78</v>
      </c>
      <c r="M71">
        <v>9211</v>
      </c>
      <c r="N71">
        <v>85</v>
      </c>
      <c r="O71">
        <v>9.1999999999999998E-3</v>
      </c>
      <c r="P71">
        <v>31.15</v>
      </c>
      <c r="Q71">
        <v>0.37</v>
      </c>
      <c r="R71">
        <v>0</v>
      </c>
      <c r="S71">
        <v>2</v>
      </c>
      <c r="T71">
        <v>264.89999999999998</v>
      </c>
      <c r="U71">
        <v>0.1176</v>
      </c>
      <c r="V71">
        <v>8.5039999999999996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</row>
    <row r="72" spans="1:36" x14ac:dyDescent="0.2">
      <c r="A72" t="s">
        <v>100</v>
      </c>
      <c r="B72" t="s">
        <v>180</v>
      </c>
      <c r="C72" t="s">
        <v>102</v>
      </c>
      <c r="D72" t="s">
        <v>73</v>
      </c>
      <c r="E72" t="s">
        <v>96</v>
      </c>
      <c r="F72" t="s">
        <v>75</v>
      </c>
      <c r="G72" t="s">
        <v>146</v>
      </c>
      <c r="I72" t="s">
        <v>181</v>
      </c>
      <c r="J72">
        <v>8</v>
      </c>
      <c r="L72" t="s">
        <v>78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</row>
    <row r="73" spans="1:36" x14ac:dyDescent="0.2">
      <c r="A73" t="s">
        <v>70</v>
      </c>
      <c r="B73" t="s">
        <v>182</v>
      </c>
      <c r="C73" t="s">
        <v>72</v>
      </c>
      <c r="D73" t="s">
        <v>73</v>
      </c>
      <c r="E73" t="s">
        <v>96</v>
      </c>
      <c r="F73" t="s">
        <v>75</v>
      </c>
      <c r="G73" t="s">
        <v>146</v>
      </c>
      <c r="I73" t="s">
        <v>183</v>
      </c>
      <c r="J73">
        <v>8</v>
      </c>
      <c r="L73" t="s">
        <v>78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</row>
    <row r="74" spans="1:36" x14ac:dyDescent="0.2">
      <c r="A74" t="s">
        <v>70</v>
      </c>
      <c r="B74" t="s">
        <v>184</v>
      </c>
      <c r="C74" t="s">
        <v>72</v>
      </c>
      <c r="D74" t="s">
        <v>73</v>
      </c>
      <c r="E74" t="s">
        <v>96</v>
      </c>
      <c r="F74" t="s">
        <v>75</v>
      </c>
      <c r="G74" t="s">
        <v>146</v>
      </c>
      <c r="I74" t="s">
        <v>185</v>
      </c>
      <c r="J74">
        <v>8</v>
      </c>
      <c r="L74" t="s">
        <v>78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</row>
    <row r="75" spans="1:36" x14ac:dyDescent="0.2">
      <c r="A75" t="s">
        <v>70</v>
      </c>
      <c r="B75" t="s">
        <v>186</v>
      </c>
      <c r="C75" t="s">
        <v>72</v>
      </c>
      <c r="D75" t="s">
        <v>73</v>
      </c>
      <c r="E75" t="s">
        <v>96</v>
      </c>
      <c r="F75" t="s">
        <v>75</v>
      </c>
      <c r="G75" t="s">
        <v>146</v>
      </c>
      <c r="J75">
        <v>26</v>
      </c>
      <c r="K75" t="s">
        <v>77</v>
      </c>
      <c r="L75" t="s">
        <v>78</v>
      </c>
      <c r="M75">
        <v>114897</v>
      </c>
      <c r="N75">
        <v>106</v>
      </c>
      <c r="O75">
        <v>8.9999999999999998E-4</v>
      </c>
      <c r="P75">
        <v>44.28</v>
      </c>
      <c r="Q75">
        <v>0.42</v>
      </c>
      <c r="R75">
        <v>0</v>
      </c>
      <c r="S75">
        <v>1</v>
      </c>
      <c r="T75">
        <v>18.25</v>
      </c>
      <c r="U75">
        <v>2.4262999999999999</v>
      </c>
      <c r="V75">
        <v>0.41210000000000002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</row>
    <row r="76" spans="1:36" x14ac:dyDescent="0.2">
      <c r="A76" t="s">
        <v>70</v>
      </c>
      <c r="B76" t="s">
        <v>187</v>
      </c>
      <c r="C76" t="s">
        <v>72</v>
      </c>
      <c r="D76" t="s">
        <v>73</v>
      </c>
      <c r="E76" t="s">
        <v>96</v>
      </c>
      <c r="F76" t="s">
        <v>75</v>
      </c>
      <c r="G76" t="s">
        <v>146</v>
      </c>
      <c r="I76" t="s">
        <v>188</v>
      </c>
      <c r="J76">
        <v>8</v>
      </c>
      <c r="K76" t="s">
        <v>77</v>
      </c>
      <c r="L76" t="s">
        <v>78</v>
      </c>
      <c r="M76">
        <v>3423</v>
      </c>
      <c r="N76">
        <v>29</v>
      </c>
      <c r="O76">
        <v>8.5000000000000006E-3</v>
      </c>
      <c r="P76">
        <v>12.73</v>
      </c>
      <c r="Q76">
        <v>0.44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</row>
    <row r="77" spans="1:36" x14ac:dyDescent="0.2">
      <c r="A77" t="s">
        <v>100</v>
      </c>
      <c r="B77" t="s">
        <v>189</v>
      </c>
      <c r="C77" t="s">
        <v>102</v>
      </c>
      <c r="D77" t="s">
        <v>73</v>
      </c>
      <c r="E77" t="s">
        <v>96</v>
      </c>
      <c r="F77" t="s">
        <v>75</v>
      </c>
      <c r="G77" t="s">
        <v>146</v>
      </c>
      <c r="J77">
        <v>8</v>
      </c>
      <c r="L77" t="s">
        <v>78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</row>
    <row r="78" spans="1:36" x14ac:dyDescent="0.2">
      <c r="A78" t="s">
        <v>70</v>
      </c>
      <c r="B78" t="s">
        <v>190</v>
      </c>
      <c r="C78" t="s">
        <v>72</v>
      </c>
      <c r="D78" t="s">
        <v>73</v>
      </c>
      <c r="E78" t="s">
        <v>96</v>
      </c>
      <c r="F78" t="s">
        <v>75</v>
      </c>
      <c r="G78" t="s">
        <v>146</v>
      </c>
      <c r="I78" t="s">
        <v>191</v>
      </c>
      <c r="J78">
        <v>8</v>
      </c>
      <c r="K78" t="s">
        <v>77</v>
      </c>
      <c r="L78" t="s">
        <v>78</v>
      </c>
      <c r="M78">
        <v>21342</v>
      </c>
      <c r="N78">
        <v>68</v>
      </c>
      <c r="O78">
        <v>3.2000000000000002E-3</v>
      </c>
      <c r="P78">
        <v>21.69</v>
      </c>
      <c r="Q78">
        <v>0.32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</row>
    <row r="79" spans="1:36" x14ac:dyDescent="0.2">
      <c r="A79" t="s">
        <v>70</v>
      </c>
      <c r="B79" t="s">
        <v>192</v>
      </c>
      <c r="C79" t="s">
        <v>72</v>
      </c>
      <c r="D79" t="s">
        <v>73</v>
      </c>
      <c r="E79" t="s">
        <v>96</v>
      </c>
      <c r="F79" t="s">
        <v>75</v>
      </c>
      <c r="G79" t="s">
        <v>146</v>
      </c>
      <c r="I79" t="s">
        <v>193</v>
      </c>
      <c r="J79">
        <v>8</v>
      </c>
      <c r="K79" t="s">
        <v>77</v>
      </c>
      <c r="L79" t="s">
        <v>78</v>
      </c>
      <c r="M79">
        <v>1309</v>
      </c>
      <c r="N79">
        <v>26</v>
      </c>
      <c r="O79">
        <v>1.9900000000000001E-2</v>
      </c>
      <c r="P79">
        <v>6.45</v>
      </c>
      <c r="Q79">
        <v>0.25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</row>
    <row r="80" spans="1:36" x14ac:dyDescent="0.2">
      <c r="A80" t="s">
        <v>70</v>
      </c>
      <c r="B80" t="s">
        <v>194</v>
      </c>
      <c r="C80" t="s">
        <v>72</v>
      </c>
      <c r="D80" t="s">
        <v>73</v>
      </c>
      <c r="E80" t="s">
        <v>96</v>
      </c>
      <c r="F80" t="s">
        <v>75</v>
      </c>
      <c r="G80" t="s">
        <v>146</v>
      </c>
      <c r="I80" t="s">
        <v>195</v>
      </c>
      <c r="J80">
        <v>25</v>
      </c>
      <c r="K80" t="s">
        <v>77</v>
      </c>
      <c r="L80" t="s">
        <v>78</v>
      </c>
      <c r="M80">
        <v>13710</v>
      </c>
      <c r="N80">
        <v>61</v>
      </c>
      <c r="O80">
        <v>4.4000000000000003E-3</v>
      </c>
      <c r="P80">
        <v>15.82</v>
      </c>
      <c r="Q80">
        <v>0.26</v>
      </c>
      <c r="R80">
        <v>0</v>
      </c>
      <c r="S80">
        <v>1</v>
      </c>
      <c r="T80">
        <v>31.95</v>
      </c>
      <c r="U80">
        <v>0.49509999999999998</v>
      </c>
      <c r="V80">
        <v>2.0196000000000001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</row>
    <row r="81" spans="1:36" x14ac:dyDescent="0.2">
      <c r="A81" t="s">
        <v>70</v>
      </c>
      <c r="B81" t="s">
        <v>196</v>
      </c>
      <c r="C81" t="s">
        <v>72</v>
      </c>
      <c r="D81" t="s">
        <v>73</v>
      </c>
      <c r="E81" t="s">
        <v>96</v>
      </c>
      <c r="F81" t="s">
        <v>75</v>
      </c>
      <c r="G81" t="s">
        <v>146</v>
      </c>
      <c r="J81">
        <v>8</v>
      </c>
      <c r="K81" t="s">
        <v>77</v>
      </c>
      <c r="L81" t="s">
        <v>78</v>
      </c>
      <c r="M81">
        <v>8606</v>
      </c>
      <c r="N81">
        <v>63</v>
      </c>
      <c r="O81">
        <v>7.3000000000000001E-3</v>
      </c>
      <c r="P81">
        <v>27.42</v>
      </c>
      <c r="Q81">
        <v>0.44</v>
      </c>
      <c r="R81">
        <v>0</v>
      </c>
      <c r="S81">
        <v>1</v>
      </c>
      <c r="T81">
        <v>29.95</v>
      </c>
      <c r="U81">
        <v>0.91549999999999998</v>
      </c>
      <c r="V81">
        <v>1.0923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</row>
    <row r="82" spans="1:36" x14ac:dyDescent="0.2">
      <c r="A82" t="s">
        <v>100</v>
      </c>
      <c r="B82" t="s">
        <v>197</v>
      </c>
      <c r="C82" t="s">
        <v>102</v>
      </c>
      <c r="D82" t="s">
        <v>73</v>
      </c>
      <c r="E82" t="s">
        <v>96</v>
      </c>
      <c r="F82" t="s">
        <v>75</v>
      </c>
      <c r="G82" t="s">
        <v>146</v>
      </c>
      <c r="I82" t="s">
        <v>198</v>
      </c>
      <c r="J82">
        <v>15</v>
      </c>
      <c r="L82" t="s">
        <v>78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</row>
    <row r="83" spans="1:36" x14ac:dyDescent="0.2">
      <c r="A83" t="s">
        <v>70</v>
      </c>
      <c r="B83" t="s">
        <v>199</v>
      </c>
      <c r="C83" t="s">
        <v>72</v>
      </c>
      <c r="D83" t="s">
        <v>73</v>
      </c>
      <c r="E83" t="s">
        <v>96</v>
      </c>
      <c r="F83" t="s">
        <v>75</v>
      </c>
      <c r="G83" t="s">
        <v>146</v>
      </c>
      <c r="J83">
        <v>8</v>
      </c>
      <c r="K83" t="s">
        <v>77</v>
      </c>
      <c r="L83" t="s">
        <v>78</v>
      </c>
      <c r="M83">
        <v>1266</v>
      </c>
      <c r="N83">
        <v>1</v>
      </c>
      <c r="O83">
        <v>8.0000000000000004E-4</v>
      </c>
      <c r="P83">
        <v>0.08</v>
      </c>
      <c r="Q83">
        <v>0.08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</row>
    <row r="84" spans="1:36" x14ac:dyDescent="0.2">
      <c r="A84" t="s">
        <v>70</v>
      </c>
      <c r="B84" t="s">
        <v>200</v>
      </c>
      <c r="C84" t="s">
        <v>72</v>
      </c>
      <c r="D84" t="s">
        <v>73</v>
      </c>
      <c r="E84" t="s">
        <v>96</v>
      </c>
      <c r="F84" t="s">
        <v>75</v>
      </c>
      <c r="G84" t="s">
        <v>146</v>
      </c>
      <c r="I84" t="s">
        <v>201</v>
      </c>
      <c r="J84">
        <v>8</v>
      </c>
      <c r="K84" t="s">
        <v>77</v>
      </c>
      <c r="L84" t="s">
        <v>78</v>
      </c>
      <c r="M84">
        <v>3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</row>
    <row r="85" spans="1:36" x14ac:dyDescent="0.2">
      <c r="A85" t="s">
        <v>100</v>
      </c>
      <c r="B85" t="s">
        <v>202</v>
      </c>
      <c r="C85" t="s">
        <v>102</v>
      </c>
      <c r="D85" t="s">
        <v>73</v>
      </c>
      <c r="E85" t="s">
        <v>96</v>
      </c>
      <c r="F85" t="s">
        <v>75</v>
      </c>
      <c r="G85" t="s">
        <v>146</v>
      </c>
      <c r="I85" t="s">
        <v>203</v>
      </c>
      <c r="J85">
        <v>8</v>
      </c>
      <c r="L85" t="s">
        <v>78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</row>
    <row r="86" spans="1:36" x14ac:dyDescent="0.2">
      <c r="A86" t="s">
        <v>70</v>
      </c>
      <c r="B86" t="s">
        <v>204</v>
      </c>
      <c r="C86" t="s">
        <v>72</v>
      </c>
      <c r="D86" t="s">
        <v>73</v>
      </c>
      <c r="E86" t="s">
        <v>96</v>
      </c>
      <c r="F86" t="s">
        <v>75</v>
      </c>
      <c r="G86" t="s">
        <v>146</v>
      </c>
      <c r="J86">
        <v>15</v>
      </c>
      <c r="K86" t="s">
        <v>77</v>
      </c>
      <c r="L86" t="s">
        <v>78</v>
      </c>
      <c r="M86">
        <v>44518</v>
      </c>
      <c r="N86">
        <v>64</v>
      </c>
      <c r="O86">
        <v>1.4E-3</v>
      </c>
      <c r="P86">
        <v>18.45</v>
      </c>
      <c r="Q86">
        <v>0.28999999999999998</v>
      </c>
      <c r="R86">
        <v>0</v>
      </c>
      <c r="S86">
        <v>1</v>
      </c>
      <c r="T86">
        <v>19.95</v>
      </c>
      <c r="U86">
        <v>0.92479999999999996</v>
      </c>
      <c r="V86">
        <v>1.0812999999999999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</row>
    <row r="87" spans="1:36" x14ac:dyDescent="0.2">
      <c r="A87" t="s">
        <v>70</v>
      </c>
      <c r="B87" t="s">
        <v>205</v>
      </c>
      <c r="C87" t="s">
        <v>72</v>
      </c>
      <c r="D87" t="s">
        <v>73</v>
      </c>
      <c r="E87" t="s">
        <v>96</v>
      </c>
      <c r="F87" t="s">
        <v>75</v>
      </c>
      <c r="G87" t="s">
        <v>146</v>
      </c>
      <c r="J87">
        <v>12</v>
      </c>
      <c r="K87" t="s">
        <v>77</v>
      </c>
      <c r="L87" t="s">
        <v>78</v>
      </c>
      <c r="M87">
        <v>3716</v>
      </c>
      <c r="N87">
        <v>33</v>
      </c>
      <c r="O87">
        <v>8.8999999999999999E-3</v>
      </c>
      <c r="P87">
        <v>6.14</v>
      </c>
      <c r="Q87">
        <v>0.19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</row>
    <row r="88" spans="1:36" x14ac:dyDescent="0.2">
      <c r="A88" t="s">
        <v>100</v>
      </c>
      <c r="B88" t="s">
        <v>206</v>
      </c>
      <c r="C88" t="s">
        <v>102</v>
      </c>
      <c r="D88" t="s">
        <v>73</v>
      </c>
      <c r="E88" t="s">
        <v>96</v>
      </c>
      <c r="F88" t="s">
        <v>75</v>
      </c>
      <c r="G88" t="s">
        <v>146</v>
      </c>
      <c r="I88" t="s">
        <v>201</v>
      </c>
      <c r="J88">
        <v>30</v>
      </c>
      <c r="L88" t="s">
        <v>78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</row>
    <row r="89" spans="1:36" x14ac:dyDescent="0.2">
      <c r="A89" t="s">
        <v>100</v>
      </c>
      <c r="B89" t="s">
        <v>207</v>
      </c>
      <c r="C89" t="s">
        <v>102</v>
      </c>
      <c r="D89" t="s">
        <v>73</v>
      </c>
      <c r="E89" t="s">
        <v>96</v>
      </c>
      <c r="F89" t="s">
        <v>75</v>
      </c>
      <c r="G89" t="s">
        <v>146</v>
      </c>
      <c r="I89" t="s">
        <v>208</v>
      </c>
      <c r="J89">
        <v>8</v>
      </c>
      <c r="L89" t="s">
        <v>78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</row>
    <row r="90" spans="1:36" x14ac:dyDescent="0.2">
      <c r="A90" t="s">
        <v>70</v>
      </c>
      <c r="B90" t="s">
        <v>209</v>
      </c>
      <c r="C90" t="s">
        <v>72</v>
      </c>
      <c r="D90" t="s">
        <v>73</v>
      </c>
      <c r="E90" t="s">
        <v>96</v>
      </c>
      <c r="F90" t="s">
        <v>75</v>
      </c>
      <c r="G90" t="s">
        <v>146</v>
      </c>
      <c r="I90" t="s">
        <v>210</v>
      </c>
      <c r="J90">
        <v>20</v>
      </c>
      <c r="K90" t="s">
        <v>77</v>
      </c>
      <c r="L90" t="s">
        <v>78</v>
      </c>
      <c r="M90">
        <v>15150</v>
      </c>
      <c r="N90">
        <v>152</v>
      </c>
      <c r="O90">
        <v>0.01</v>
      </c>
      <c r="P90">
        <v>47.12</v>
      </c>
      <c r="Q90">
        <v>0.31</v>
      </c>
      <c r="R90">
        <v>0</v>
      </c>
      <c r="S90">
        <v>9</v>
      </c>
      <c r="T90">
        <v>176.75</v>
      </c>
      <c r="U90">
        <v>0.2666</v>
      </c>
      <c r="V90">
        <v>3.7511000000000001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</row>
    <row r="91" spans="1:36" x14ac:dyDescent="0.2">
      <c r="A91" t="s">
        <v>70</v>
      </c>
      <c r="B91" t="s">
        <v>211</v>
      </c>
      <c r="C91" t="s">
        <v>72</v>
      </c>
      <c r="D91" t="s">
        <v>73</v>
      </c>
      <c r="E91" t="s">
        <v>96</v>
      </c>
      <c r="F91" t="s">
        <v>75</v>
      </c>
      <c r="G91" t="s">
        <v>146</v>
      </c>
      <c r="I91" t="s">
        <v>212</v>
      </c>
      <c r="J91">
        <v>8</v>
      </c>
      <c r="K91" t="s">
        <v>77</v>
      </c>
      <c r="L91" t="s">
        <v>78</v>
      </c>
      <c r="M91">
        <v>9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</row>
    <row r="92" spans="1:36" x14ac:dyDescent="0.2">
      <c r="A92" t="s">
        <v>70</v>
      </c>
      <c r="B92" t="s">
        <v>213</v>
      </c>
      <c r="C92" t="s">
        <v>72</v>
      </c>
      <c r="D92" t="s">
        <v>73</v>
      </c>
      <c r="E92" t="s">
        <v>96</v>
      </c>
      <c r="F92" t="s">
        <v>75</v>
      </c>
      <c r="G92" t="s">
        <v>146</v>
      </c>
      <c r="I92" t="s">
        <v>214</v>
      </c>
      <c r="J92">
        <v>26</v>
      </c>
      <c r="K92" t="s">
        <v>77</v>
      </c>
      <c r="L92" t="s">
        <v>78</v>
      </c>
      <c r="M92">
        <v>22190</v>
      </c>
      <c r="N92">
        <v>195</v>
      </c>
      <c r="O92">
        <v>8.8000000000000005E-3</v>
      </c>
      <c r="P92">
        <v>75.400000000000006</v>
      </c>
      <c r="Q92">
        <v>0.39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</row>
    <row r="93" spans="1:36" x14ac:dyDescent="0.2">
      <c r="A93" t="s">
        <v>70</v>
      </c>
      <c r="B93" t="s">
        <v>215</v>
      </c>
      <c r="C93" t="s">
        <v>72</v>
      </c>
      <c r="D93" t="s">
        <v>73</v>
      </c>
      <c r="E93" t="s">
        <v>96</v>
      </c>
      <c r="F93" t="s">
        <v>75</v>
      </c>
      <c r="G93" t="s">
        <v>146</v>
      </c>
      <c r="J93">
        <v>25</v>
      </c>
      <c r="K93" t="s">
        <v>77</v>
      </c>
      <c r="L93" t="s">
        <v>78</v>
      </c>
      <c r="M93">
        <v>685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</row>
    <row r="94" spans="1:36" x14ac:dyDescent="0.2">
      <c r="A94" t="s">
        <v>100</v>
      </c>
      <c r="B94" t="s">
        <v>216</v>
      </c>
      <c r="C94" t="s">
        <v>102</v>
      </c>
      <c r="D94" t="s">
        <v>73</v>
      </c>
      <c r="E94" t="s">
        <v>96</v>
      </c>
      <c r="F94" t="s">
        <v>75</v>
      </c>
      <c r="G94" t="s">
        <v>146</v>
      </c>
      <c r="I94" t="s">
        <v>155</v>
      </c>
      <c r="J94">
        <v>12</v>
      </c>
      <c r="L94" t="s">
        <v>78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</row>
    <row r="95" spans="1:36" x14ac:dyDescent="0.2">
      <c r="A95" t="s">
        <v>70</v>
      </c>
      <c r="B95" t="s">
        <v>217</v>
      </c>
      <c r="C95" t="s">
        <v>72</v>
      </c>
      <c r="D95" t="s">
        <v>73</v>
      </c>
      <c r="E95" t="s">
        <v>96</v>
      </c>
      <c r="F95" t="s">
        <v>75</v>
      </c>
      <c r="G95" t="s">
        <v>146</v>
      </c>
      <c r="I95" t="s">
        <v>218</v>
      </c>
      <c r="J95">
        <v>15</v>
      </c>
      <c r="K95" t="s">
        <v>77</v>
      </c>
      <c r="L95" t="s">
        <v>78</v>
      </c>
      <c r="M95">
        <v>16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</row>
    <row r="96" spans="1:36" x14ac:dyDescent="0.2">
      <c r="A96" t="s">
        <v>100</v>
      </c>
      <c r="B96" t="s">
        <v>219</v>
      </c>
      <c r="C96" t="s">
        <v>102</v>
      </c>
      <c r="D96" t="s">
        <v>73</v>
      </c>
      <c r="E96" t="s">
        <v>96</v>
      </c>
      <c r="F96" t="s">
        <v>75</v>
      </c>
      <c r="G96" t="s">
        <v>146</v>
      </c>
      <c r="I96" t="s">
        <v>220</v>
      </c>
      <c r="J96">
        <v>8</v>
      </c>
      <c r="L96" t="s">
        <v>78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</row>
    <row r="97" spans="1:36" x14ac:dyDescent="0.2">
      <c r="A97" t="s">
        <v>70</v>
      </c>
      <c r="B97" t="s">
        <v>221</v>
      </c>
      <c r="C97" t="s">
        <v>72</v>
      </c>
      <c r="D97" t="s">
        <v>73</v>
      </c>
      <c r="E97" t="s">
        <v>96</v>
      </c>
      <c r="F97" t="s">
        <v>75</v>
      </c>
      <c r="G97" t="s">
        <v>146</v>
      </c>
      <c r="I97" t="s">
        <v>222</v>
      </c>
      <c r="J97">
        <v>15</v>
      </c>
      <c r="K97" t="s">
        <v>77</v>
      </c>
      <c r="L97" t="s">
        <v>78</v>
      </c>
      <c r="M97">
        <v>56</v>
      </c>
      <c r="N97">
        <v>1</v>
      </c>
      <c r="O97">
        <v>1.7899999999999999E-2</v>
      </c>
      <c r="P97">
        <v>0.3</v>
      </c>
      <c r="Q97">
        <v>0.3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</row>
    <row r="98" spans="1:36" x14ac:dyDescent="0.2">
      <c r="A98" t="s">
        <v>70</v>
      </c>
      <c r="B98" t="s">
        <v>223</v>
      </c>
      <c r="C98" t="s">
        <v>72</v>
      </c>
      <c r="D98" t="s">
        <v>73</v>
      </c>
      <c r="E98" t="s">
        <v>96</v>
      </c>
      <c r="F98" t="s">
        <v>75</v>
      </c>
      <c r="G98" t="s">
        <v>146</v>
      </c>
      <c r="J98">
        <v>15</v>
      </c>
      <c r="L98" t="s">
        <v>78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</row>
    <row r="99" spans="1:36" x14ac:dyDescent="0.2">
      <c r="A99" t="s">
        <v>70</v>
      </c>
      <c r="B99" t="s">
        <v>224</v>
      </c>
      <c r="C99" t="s">
        <v>72</v>
      </c>
      <c r="D99" t="s">
        <v>73</v>
      </c>
      <c r="E99" t="s">
        <v>96</v>
      </c>
      <c r="F99" t="s">
        <v>75</v>
      </c>
      <c r="G99" t="s">
        <v>146</v>
      </c>
      <c r="I99" t="s">
        <v>126</v>
      </c>
      <c r="J99">
        <v>19</v>
      </c>
      <c r="K99" t="s">
        <v>77</v>
      </c>
      <c r="L99" t="s">
        <v>78</v>
      </c>
      <c r="M99">
        <v>15891</v>
      </c>
      <c r="N99">
        <v>69</v>
      </c>
      <c r="O99">
        <v>4.3E-3</v>
      </c>
      <c r="P99">
        <v>44.29</v>
      </c>
      <c r="Q99">
        <v>0.64</v>
      </c>
      <c r="R99">
        <v>0</v>
      </c>
      <c r="S99">
        <v>1</v>
      </c>
      <c r="T99">
        <v>219.95</v>
      </c>
      <c r="U99">
        <v>0.2014</v>
      </c>
      <c r="V99">
        <v>4.9661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</row>
    <row r="100" spans="1:36" x14ac:dyDescent="0.2">
      <c r="A100" t="s">
        <v>70</v>
      </c>
      <c r="B100" t="s">
        <v>225</v>
      </c>
      <c r="C100" t="s">
        <v>72</v>
      </c>
      <c r="D100" t="s">
        <v>73</v>
      </c>
      <c r="E100" t="s">
        <v>96</v>
      </c>
      <c r="F100" t="s">
        <v>75</v>
      </c>
      <c r="G100" t="s">
        <v>146</v>
      </c>
      <c r="J100">
        <v>16</v>
      </c>
      <c r="K100" t="s">
        <v>77</v>
      </c>
      <c r="L100" t="s">
        <v>78</v>
      </c>
      <c r="M100">
        <v>52851</v>
      </c>
      <c r="N100">
        <v>775</v>
      </c>
      <c r="O100">
        <v>1.47E-2</v>
      </c>
      <c r="P100">
        <v>184.9</v>
      </c>
      <c r="Q100">
        <v>0.24</v>
      </c>
      <c r="R100">
        <v>0</v>
      </c>
      <c r="S100">
        <v>3</v>
      </c>
      <c r="T100">
        <v>580.29</v>
      </c>
      <c r="U100">
        <v>0.31859999999999999</v>
      </c>
      <c r="V100">
        <v>3.1383999999999999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</row>
    <row r="101" spans="1:36" x14ac:dyDescent="0.2">
      <c r="A101" t="s">
        <v>70</v>
      </c>
      <c r="B101" t="s">
        <v>226</v>
      </c>
      <c r="C101" t="s">
        <v>72</v>
      </c>
      <c r="D101" t="s">
        <v>73</v>
      </c>
      <c r="E101" t="s">
        <v>96</v>
      </c>
      <c r="F101" t="s">
        <v>75</v>
      </c>
      <c r="G101" t="s">
        <v>146</v>
      </c>
      <c r="I101" t="s">
        <v>128</v>
      </c>
      <c r="J101">
        <v>20</v>
      </c>
      <c r="K101" t="s">
        <v>77</v>
      </c>
      <c r="L101" t="s">
        <v>78</v>
      </c>
      <c r="M101">
        <v>248</v>
      </c>
      <c r="N101">
        <v>2</v>
      </c>
      <c r="O101">
        <v>8.0999999999999996E-3</v>
      </c>
      <c r="P101">
        <v>0.06</v>
      </c>
      <c r="Q101">
        <v>0.03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</row>
    <row r="102" spans="1:36" x14ac:dyDescent="0.2">
      <c r="A102" t="s">
        <v>70</v>
      </c>
      <c r="B102" t="s">
        <v>227</v>
      </c>
      <c r="C102" t="s">
        <v>72</v>
      </c>
      <c r="D102" t="s">
        <v>73</v>
      </c>
      <c r="E102" t="s">
        <v>96</v>
      </c>
      <c r="F102" t="s">
        <v>141</v>
      </c>
      <c r="G102" t="s">
        <v>228</v>
      </c>
      <c r="J102">
        <v>25</v>
      </c>
      <c r="K102" t="s">
        <v>77</v>
      </c>
      <c r="L102" t="s">
        <v>78</v>
      </c>
      <c r="M102">
        <v>142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</row>
    <row r="103" spans="1:36" x14ac:dyDescent="0.2">
      <c r="A103" t="s">
        <v>70</v>
      </c>
      <c r="B103" t="s">
        <v>229</v>
      </c>
      <c r="C103" t="s">
        <v>72</v>
      </c>
      <c r="D103" t="s">
        <v>73</v>
      </c>
      <c r="E103" t="s">
        <v>96</v>
      </c>
      <c r="F103" t="s">
        <v>141</v>
      </c>
      <c r="G103" t="s">
        <v>228</v>
      </c>
      <c r="J103">
        <v>10</v>
      </c>
      <c r="K103" t="s">
        <v>77</v>
      </c>
      <c r="L103" t="s">
        <v>78</v>
      </c>
      <c r="M103">
        <v>5660</v>
      </c>
      <c r="N103">
        <v>67</v>
      </c>
      <c r="O103">
        <v>1.18E-2</v>
      </c>
      <c r="P103">
        <v>16.760000000000002</v>
      </c>
      <c r="Q103">
        <v>0.25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</row>
    <row r="104" spans="1:36" x14ac:dyDescent="0.2">
      <c r="A104" t="s">
        <v>70</v>
      </c>
      <c r="B104" t="s">
        <v>230</v>
      </c>
      <c r="C104" t="s">
        <v>72</v>
      </c>
      <c r="D104" t="s">
        <v>73</v>
      </c>
      <c r="E104" t="s">
        <v>96</v>
      </c>
      <c r="F104" t="s">
        <v>75</v>
      </c>
      <c r="G104" t="s">
        <v>228</v>
      </c>
      <c r="J104">
        <v>8</v>
      </c>
      <c r="K104" t="s">
        <v>77</v>
      </c>
      <c r="L104" t="s">
        <v>78</v>
      </c>
      <c r="M104">
        <v>27707</v>
      </c>
      <c r="N104">
        <v>22</v>
      </c>
      <c r="O104">
        <v>8.0000000000000004E-4</v>
      </c>
      <c r="P104">
        <v>11.64</v>
      </c>
      <c r="Q104">
        <v>0.53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</row>
    <row r="105" spans="1:36" x14ac:dyDescent="0.2">
      <c r="A105" t="s">
        <v>70</v>
      </c>
      <c r="B105" t="s">
        <v>231</v>
      </c>
      <c r="C105" t="s">
        <v>72</v>
      </c>
      <c r="D105" t="s">
        <v>73</v>
      </c>
      <c r="E105" t="s">
        <v>96</v>
      </c>
      <c r="F105" t="s">
        <v>75</v>
      </c>
      <c r="G105" t="s">
        <v>228</v>
      </c>
      <c r="J105">
        <v>16</v>
      </c>
      <c r="K105" t="s">
        <v>77</v>
      </c>
      <c r="L105" t="s">
        <v>78</v>
      </c>
      <c r="M105">
        <v>39209</v>
      </c>
      <c r="N105">
        <v>200</v>
      </c>
      <c r="O105">
        <v>5.1000000000000004E-3</v>
      </c>
      <c r="P105">
        <v>140.53</v>
      </c>
      <c r="Q105">
        <v>0.7</v>
      </c>
      <c r="R105">
        <v>0</v>
      </c>
      <c r="S105">
        <v>16</v>
      </c>
      <c r="T105">
        <v>509.15</v>
      </c>
      <c r="U105">
        <v>0.27600000000000002</v>
      </c>
      <c r="V105">
        <v>3.6231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</row>
    <row r="106" spans="1:36" x14ac:dyDescent="0.2">
      <c r="A106" t="s">
        <v>70</v>
      </c>
      <c r="B106" t="s">
        <v>232</v>
      </c>
      <c r="C106" t="s">
        <v>72</v>
      </c>
      <c r="D106" t="s">
        <v>73</v>
      </c>
      <c r="E106" t="s">
        <v>96</v>
      </c>
      <c r="F106" t="s">
        <v>75</v>
      </c>
      <c r="G106" t="s">
        <v>228</v>
      </c>
      <c r="J106">
        <v>7</v>
      </c>
      <c r="K106" t="s">
        <v>77</v>
      </c>
      <c r="L106" t="s">
        <v>78</v>
      </c>
      <c r="M106">
        <v>11711</v>
      </c>
      <c r="N106">
        <v>97</v>
      </c>
      <c r="O106">
        <v>8.3000000000000001E-3</v>
      </c>
      <c r="P106">
        <v>49.96</v>
      </c>
      <c r="Q106">
        <v>0.52</v>
      </c>
      <c r="R106">
        <v>0</v>
      </c>
      <c r="S106">
        <v>2</v>
      </c>
      <c r="T106">
        <v>43.9</v>
      </c>
      <c r="U106">
        <v>1.1379999999999999</v>
      </c>
      <c r="V106">
        <v>0.87870000000000004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</row>
    <row r="107" spans="1:36" x14ac:dyDescent="0.2">
      <c r="A107" t="s">
        <v>100</v>
      </c>
      <c r="B107" t="s">
        <v>233</v>
      </c>
      <c r="C107" t="s">
        <v>102</v>
      </c>
      <c r="D107" t="s">
        <v>73</v>
      </c>
      <c r="E107" t="s">
        <v>96</v>
      </c>
      <c r="F107" t="s">
        <v>75</v>
      </c>
      <c r="G107" t="s">
        <v>228</v>
      </c>
      <c r="J107">
        <v>12.5</v>
      </c>
      <c r="L107" t="s">
        <v>78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</row>
    <row r="108" spans="1:36" x14ac:dyDescent="0.2">
      <c r="A108" t="s">
        <v>70</v>
      </c>
      <c r="B108" t="s">
        <v>234</v>
      </c>
      <c r="C108" t="s">
        <v>72</v>
      </c>
      <c r="D108" t="s">
        <v>73</v>
      </c>
      <c r="E108" t="s">
        <v>96</v>
      </c>
      <c r="F108" t="s">
        <v>116</v>
      </c>
      <c r="G108" t="s">
        <v>228</v>
      </c>
      <c r="J108">
        <v>36</v>
      </c>
      <c r="L108" t="s">
        <v>78</v>
      </c>
      <c r="M108">
        <v>1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</row>
    <row r="109" spans="1:36" x14ac:dyDescent="0.2">
      <c r="A109" t="s">
        <v>100</v>
      </c>
      <c r="B109" t="s">
        <v>235</v>
      </c>
      <c r="C109" t="s">
        <v>102</v>
      </c>
      <c r="D109" t="s">
        <v>73</v>
      </c>
      <c r="E109" t="s">
        <v>96</v>
      </c>
      <c r="F109" t="s">
        <v>75</v>
      </c>
      <c r="G109" t="s">
        <v>228</v>
      </c>
      <c r="I109" t="s">
        <v>236</v>
      </c>
      <c r="J109">
        <v>11</v>
      </c>
      <c r="L109" t="s">
        <v>78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</row>
    <row r="110" spans="1:36" x14ac:dyDescent="0.2">
      <c r="A110" t="s">
        <v>70</v>
      </c>
      <c r="B110" t="s">
        <v>237</v>
      </c>
      <c r="C110" t="s">
        <v>72</v>
      </c>
      <c r="D110" t="s">
        <v>73</v>
      </c>
      <c r="E110" t="s">
        <v>96</v>
      </c>
      <c r="F110" t="s">
        <v>75</v>
      </c>
      <c r="G110" t="s">
        <v>228</v>
      </c>
      <c r="J110">
        <v>15</v>
      </c>
      <c r="K110" s="2">
        <v>0.27976190476190399</v>
      </c>
      <c r="L110" t="s">
        <v>78</v>
      </c>
      <c r="M110">
        <v>2546</v>
      </c>
      <c r="N110">
        <v>16</v>
      </c>
      <c r="O110">
        <v>6.3E-3</v>
      </c>
      <c r="P110">
        <v>9</v>
      </c>
      <c r="Q110">
        <v>0.56000000000000005</v>
      </c>
      <c r="R110">
        <v>0</v>
      </c>
      <c r="S110">
        <v>1</v>
      </c>
      <c r="T110">
        <v>21.09</v>
      </c>
      <c r="U110">
        <v>0.42670000000000002</v>
      </c>
      <c r="V110">
        <v>2.3433000000000002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</row>
    <row r="111" spans="1:36" x14ac:dyDescent="0.2">
      <c r="A111" t="s">
        <v>100</v>
      </c>
      <c r="B111" t="s">
        <v>238</v>
      </c>
      <c r="C111" t="s">
        <v>102</v>
      </c>
      <c r="D111" t="s">
        <v>73</v>
      </c>
      <c r="E111" t="s">
        <v>96</v>
      </c>
      <c r="F111" t="s">
        <v>75</v>
      </c>
      <c r="G111" t="s">
        <v>228</v>
      </c>
      <c r="J111">
        <v>12</v>
      </c>
      <c r="L111" t="s">
        <v>78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</row>
    <row r="112" spans="1:36" x14ac:dyDescent="0.2">
      <c r="A112" t="s">
        <v>70</v>
      </c>
      <c r="B112" t="s">
        <v>239</v>
      </c>
      <c r="C112" t="s">
        <v>72</v>
      </c>
      <c r="D112" t="s">
        <v>73</v>
      </c>
      <c r="E112" t="s">
        <v>96</v>
      </c>
      <c r="F112" t="s">
        <v>75</v>
      </c>
      <c r="G112" t="s">
        <v>228</v>
      </c>
      <c r="J112">
        <v>15</v>
      </c>
      <c r="L112" t="s">
        <v>78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</row>
    <row r="113" spans="1:36" x14ac:dyDescent="0.2">
      <c r="A113" t="s">
        <v>70</v>
      </c>
      <c r="B113" t="s">
        <v>240</v>
      </c>
      <c r="C113" t="s">
        <v>72</v>
      </c>
      <c r="D113" t="s">
        <v>73</v>
      </c>
      <c r="E113" t="s">
        <v>96</v>
      </c>
      <c r="F113" t="s">
        <v>75</v>
      </c>
      <c r="G113" t="s">
        <v>228</v>
      </c>
      <c r="J113">
        <v>15</v>
      </c>
      <c r="K113" t="s">
        <v>77</v>
      </c>
      <c r="L113" t="s">
        <v>78</v>
      </c>
      <c r="M113">
        <v>419</v>
      </c>
      <c r="N113">
        <v>7</v>
      </c>
      <c r="O113">
        <v>1.67E-2</v>
      </c>
      <c r="P113">
        <v>6.09</v>
      </c>
      <c r="Q113">
        <v>0.87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</row>
    <row r="114" spans="1:36" x14ac:dyDescent="0.2">
      <c r="A114" t="s">
        <v>70</v>
      </c>
      <c r="B114" t="s">
        <v>241</v>
      </c>
      <c r="C114" t="s">
        <v>72</v>
      </c>
      <c r="D114" t="s">
        <v>73</v>
      </c>
      <c r="E114" t="s">
        <v>96</v>
      </c>
      <c r="F114" t="s">
        <v>75</v>
      </c>
      <c r="G114" t="s">
        <v>228</v>
      </c>
      <c r="J114">
        <v>44</v>
      </c>
      <c r="K114" t="s">
        <v>77</v>
      </c>
      <c r="L114" t="s">
        <v>78</v>
      </c>
      <c r="M114">
        <v>2383</v>
      </c>
      <c r="N114">
        <v>48</v>
      </c>
      <c r="O114">
        <v>2.01E-2</v>
      </c>
      <c r="P114">
        <v>6.83</v>
      </c>
      <c r="Q114">
        <v>0.14000000000000001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</row>
    <row r="115" spans="1:36" x14ac:dyDescent="0.2">
      <c r="A115" t="s">
        <v>70</v>
      </c>
      <c r="B115" t="s">
        <v>242</v>
      </c>
      <c r="C115" t="s">
        <v>72</v>
      </c>
      <c r="D115" t="s">
        <v>73</v>
      </c>
      <c r="E115" t="s">
        <v>96</v>
      </c>
      <c r="F115" t="s">
        <v>75</v>
      </c>
      <c r="G115" t="s">
        <v>228</v>
      </c>
      <c r="I115" t="s">
        <v>243</v>
      </c>
      <c r="J115">
        <v>25</v>
      </c>
      <c r="L115" t="s">
        <v>78</v>
      </c>
      <c r="M115">
        <v>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</row>
    <row r="116" spans="1:36" x14ac:dyDescent="0.2">
      <c r="A116" t="s">
        <v>70</v>
      </c>
      <c r="B116" t="s">
        <v>244</v>
      </c>
      <c r="C116" t="s">
        <v>72</v>
      </c>
      <c r="D116" t="s">
        <v>73</v>
      </c>
      <c r="E116" t="s">
        <v>96</v>
      </c>
      <c r="F116" t="s">
        <v>141</v>
      </c>
      <c r="G116" t="s">
        <v>228</v>
      </c>
      <c r="J116">
        <v>25</v>
      </c>
      <c r="L116" t="s">
        <v>78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</row>
    <row r="117" spans="1:36" x14ac:dyDescent="0.2">
      <c r="A117" t="s">
        <v>70</v>
      </c>
      <c r="B117" t="s">
        <v>245</v>
      </c>
      <c r="C117" t="s">
        <v>72</v>
      </c>
      <c r="D117" t="s">
        <v>95</v>
      </c>
      <c r="E117" t="s">
        <v>96</v>
      </c>
      <c r="G117" t="s">
        <v>228</v>
      </c>
      <c r="J117">
        <v>15</v>
      </c>
      <c r="K117" t="s">
        <v>77</v>
      </c>
      <c r="L117" t="s">
        <v>78</v>
      </c>
      <c r="M117">
        <v>240617</v>
      </c>
      <c r="N117">
        <v>1348</v>
      </c>
      <c r="O117">
        <v>5.5999999999999999E-3</v>
      </c>
      <c r="P117">
        <v>349.57</v>
      </c>
      <c r="Q117">
        <v>0.26</v>
      </c>
      <c r="R117">
        <v>1503</v>
      </c>
      <c r="S117">
        <v>64</v>
      </c>
      <c r="T117">
        <v>1845.32</v>
      </c>
      <c r="U117">
        <v>0.18940000000000001</v>
      </c>
      <c r="V117">
        <v>5.2788000000000004</v>
      </c>
      <c r="W117">
        <v>48</v>
      </c>
      <c r="X117">
        <v>0.75</v>
      </c>
      <c r="Y117">
        <v>1296.19</v>
      </c>
      <c r="Z117">
        <v>0.70240000000000002</v>
      </c>
      <c r="AA117">
        <v>77872</v>
      </c>
      <c r="AB117">
        <v>4.49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</row>
    <row r="118" spans="1:36" x14ac:dyDescent="0.2">
      <c r="A118" t="s">
        <v>70</v>
      </c>
      <c r="B118" t="s">
        <v>246</v>
      </c>
      <c r="C118" t="s">
        <v>72</v>
      </c>
      <c r="D118" t="s">
        <v>73</v>
      </c>
      <c r="E118" t="s">
        <v>96</v>
      </c>
      <c r="F118" t="s">
        <v>141</v>
      </c>
      <c r="G118" t="s">
        <v>247</v>
      </c>
      <c r="J118">
        <v>70</v>
      </c>
      <c r="K118" s="2">
        <v>0.116152176534426</v>
      </c>
      <c r="L118" t="s">
        <v>78</v>
      </c>
      <c r="M118">
        <v>173343</v>
      </c>
      <c r="N118">
        <v>2793</v>
      </c>
      <c r="O118">
        <v>1.61E-2</v>
      </c>
      <c r="P118">
        <v>1310.4100000000001</v>
      </c>
      <c r="Q118">
        <v>0.47</v>
      </c>
      <c r="R118">
        <v>0</v>
      </c>
      <c r="S118">
        <v>324</v>
      </c>
      <c r="T118">
        <v>7697.64</v>
      </c>
      <c r="U118">
        <v>0.17019999999999999</v>
      </c>
      <c r="V118">
        <v>5.8742000000000001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</row>
    <row r="119" spans="1:36" x14ac:dyDescent="0.2">
      <c r="A119" t="s">
        <v>70</v>
      </c>
      <c r="B119" t="s">
        <v>248</v>
      </c>
      <c r="C119" t="s">
        <v>72</v>
      </c>
      <c r="D119" t="s">
        <v>73</v>
      </c>
      <c r="E119" t="s">
        <v>96</v>
      </c>
      <c r="F119" t="s">
        <v>116</v>
      </c>
      <c r="G119" t="s">
        <v>247</v>
      </c>
      <c r="J119">
        <v>29</v>
      </c>
      <c r="K119" t="s">
        <v>77</v>
      </c>
      <c r="L119" t="s">
        <v>78</v>
      </c>
      <c r="M119">
        <v>54861</v>
      </c>
      <c r="N119">
        <v>870</v>
      </c>
      <c r="O119">
        <v>1.5900000000000001E-2</v>
      </c>
      <c r="P119">
        <v>414.78</v>
      </c>
      <c r="Q119">
        <v>0.48</v>
      </c>
      <c r="R119">
        <v>0</v>
      </c>
      <c r="S119">
        <v>30</v>
      </c>
      <c r="T119">
        <v>882.95</v>
      </c>
      <c r="U119">
        <v>0.4698</v>
      </c>
      <c r="V119">
        <v>2.1286999999999998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</row>
    <row r="120" spans="1:36" x14ac:dyDescent="0.2">
      <c r="A120" t="s">
        <v>70</v>
      </c>
      <c r="B120" t="s">
        <v>249</v>
      </c>
      <c r="C120" t="s">
        <v>72</v>
      </c>
      <c r="D120" t="s">
        <v>73</v>
      </c>
      <c r="E120" t="s">
        <v>96</v>
      </c>
      <c r="F120" t="s">
        <v>75</v>
      </c>
      <c r="G120" t="s">
        <v>247</v>
      </c>
      <c r="J120">
        <v>7.5</v>
      </c>
      <c r="K120" t="s">
        <v>77</v>
      </c>
      <c r="L120" t="s">
        <v>78</v>
      </c>
      <c r="M120">
        <v>8078</v>
      </c>
      <c r="N120">
        <v>107</v>
      </c>
      <c r="O120">
        <v>1.32E-2</v>
      </c>
      <c r="P120">
        <v>54.37</v>
      </c>
      <c r="Q120">
        <v>0.51</v>
      </c>
      <c r="R120">
        <v>0</v>
      </c>
      <c r="S120">
        <v>4</v>
      </c>
      <c r="T120">
        <v>132.69</v>
      </c>
      <c r="U120">
        <v>0.4098</v>
      </c>
      <c r="V120">
        <v>2.4405000000000001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</row>
    <row r="121" spans="1:36" x14ac:dyDescent="0.2">
      <c r="A121" t="s">
        <v>70</v>
      </c>
      <c r="B121" t="s">
        <v>250</v>
      </c>
      <c r="C121" t="s">
        <v>72</v>
      </c>
      <c r="D121" t="s">
        <v>73</v>
      </c>
      <c r="E121" t="s">
        <v>96</v>
      </c>
      <c r="F121" t="s">
        <v>75</v>
      </c>
      <c r="G121" t="s">
        <v>247</v>
      </c>
      <c r="J121">
        <v>12.5</v>
      </c>
      <c r="K121" t="s">
        <v>77</v>
      </c>
      <c r="L121" t="s">
        <v>78</v>
      </c>
      <c r="M121">
        <v>63365</v>
      </c>
      <c r="N121">
        <v>781</v>
      </c>
      <c r="O121">
        <v>1.23E-2</v>
      </c>
      <c r="P121">
        <v>248.16</v>
      </c>
      <c r="Q121">
        <v>0.32</v>
      </c>
      <c r="R121">
        <v>0</v>
      </c>
      <c r="S121">
        <v>8</v>
      </c>
      <c r="T121">
        <v>226.56</v>
      </c>
      <c r="U121">
        <v>1.0952999999999999</v>
      </c>
      <c r="V121">
        <v>0.91300000000000003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</row>
    <row r="122" spans="1:36" x14ac:dyDescent="0.2">
      <c r="A122" t="s">
        <v>70</v>
      </c>
      <c r="B122" t="s">
        <v>251</v>
      </c>
      <c r="C122" t="s">
        <v>72</v>
      </c>
      <c r="D122" t="s">
        <v>73</v>
      </c>
      <c r="E122" t="s">
        <v>96</v>
      </c>
      <c r="F122" t="s">
        <v>75</v>
      </c>
      <c r="G122" t="s">
        <v>247</v>
      </c>
      <c r="I122" t="s">
        <v>126</v>
      </c>
      <c r="J122">
        <v>15</v>
      </c>
      <c r="K122" s="2">
        <v>8.5581902425728995E-2</v>
      </c>
      <c r="L122" t="s">
        <v>78</v>
      </c>
      <c r="M122">
        <v>11163</v>
      </c>
      <c r="N122">
        <v>61</v>
      </c>
      <c r="O122">
        <v>5.4999999999999997E-3</v>
      </c>
      <c r="P122">
        <v>39.08</v>
      </c>
      <c r="Q122">
        <v>0.64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</row>
    <row r="123" spans="1:36" x14ac:dyDescent="0.2">
      <c r="A123" t="s">
        <v>70</v>
      </c>
      <c r="B123" t="s">
        <v>252</v>
      </c>
      <c r="C123" t="s">
        <v>72</v>
      </c>
      <c r="D123" t="s">
        <v>73</v>
      </c>
      <c r="E123" t="s">
        <v>96</v>
      </c>
      <c r="F123" t="s">
        <v>75</v>
      </c>
      <c r="G123" t="s">
        <v>247</v>
      </c>
      <c r="J123">
        <v>16</v>
      </c>
      <c r="L123" t="s">
        <v>78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</row>
    <row r="124" spans="1:36" x14ac:dyDescent="0.2">
      <c r="A124" t="s">
        <v>100</v>
      </c>
      <c r="B124" t="s">
        <v>253</v>
      </c>
      <c r="C124" t="s">
        <v>102</v>
      </c>
      <c r="D124" t="s">
        <v>73</v>
      </c>
      <c r="E124" t="s">
        <v>96</v>
      </c>
      <c r="F124" t="s">
        <v>75</v>
      </c>
      <c r="G124" t="s">
        <v>247</v>
      </c>
      <c r="J124">
        <v>36</v>
      </c>
      <c r="L124" t="s">
        <v>78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</row>
    <row r="125" spans="1:36" x14ac:dyDescent="0.2">
      <c r="A125" t="s">
        <v>100</v>
      </c>
      <c r="B125" t="s">
        <v>254</v>
      </c>
      <c r="C125" t="s">
        <v>102</v>
      </c>
      <c r="D125" t="s">
        <v>73</v>
      </c>
      <c r="E125" t="s">
        <v>96</v>
      </c>
      <c r="F125" t="s">
        <v>75</v>
      </c>
      <c r="G125" t="s">
        <v>247</v>
      </c>
      <c r="J125">
        <v>28</v>
      </c>
      <c r="L125" t="s">
        <v>78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</row>
    <row r="126" spans="1:36" x14ac:dyDescent="0.2">
      <c r="A126" t="s">
        <v>70</v>
      </c>
      <c r="B126" t="s">
        <v>255</v>
      </c>
      <c r="C126" t="s">
        <v>72</v>
      </c>
      <c r="D126" t="s">
        <v>256</v>
      </c>
      <c r="E126" t="s">
        <v>96</v>
      </c>
      <c r="G126" t="s">
        <v>247</v>
      </c>
      <c r="J126">
        <v>5</v>
      </c>
      <c r="L126" t="s">
        <v>78</v>
      </c>
      <c r="M126">
        <v>49467</v>
      </c>
      <c r="N126">
        <v>276</v>
      </c>
      <c r="O126">
        <v>5.5999999999999999E-3</v>
      </c>
      <c r="P126">
        <v>109.06</v>
      </c>
      <c r="Q126">
        <v>0.4</v>
      </c>
      <c r="R126">
        <v>490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</row>
    <row r="127" spans="1:36" x14ac:dyDescent="0.2">
      <c r="A127" t="s">
        <v>70</v>
      </c>
      <c r="B127" t="s">
        <v>257</v>
      </c>
      <c r="C127" t="s">
        <v>72</v>
      </c>
      <c r="D127" t="s">
        <v>95</v>
      </c>
      <c r="E127" t="s">
        <v>96</v>
      </c>
      <c r="G127" t="s">
        <v>247</v>
      </c>
      <c r="J127">
        <v>4.2</v>
      </c>
      <c r="K127" t="s">
        <v>77</v>
      </c>
      <c r="L127" t="s">
        <v>78</v>
      </c>
      <c r="M127">
        <v>21249</v>
      </c>
      <c r="N127">
        <v>512</v>
      </c>
      <c r="O127">
        <v>2.41E-2</v>
      </c>
      <c r="P127">
        <v>134.49</v>
      </c>
      <c r="Q127">
        <v>0.26</v>
      </c>
      <c r="R127">
        <v>783</v>
      </c>
      <c r="S127">
        <v>2</v>
      </c>
      <c r="T127">
        <v>350.12</v>
      </c>
      <c r="U127">
        <v>0.3841</v>
      </c>
      <c r="V127">
        <v>2.6032999999999999</v>
      </c>
      <c r="W127">
        <v>2</v>
      </c>
      <c r="X127">
        <v>1</v>
      </c>
      <c r="Y127">
        <v>350.12</v>
      </c>
      <c r="Z127">
        <v>1</v>
      </c>
      <c r="AA127">
        <v>4994</v>
      </c>
      <c r="AB127">
        <v>26.93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</row>
    <row r="128" spans="1:36" x14ac:dyDescent="0.2">
      <c r="A128" t="s">
        <v>100</v>
      </c>
      <c r="B128" t="s">
        <v>258</v>
      </c>
      <c r="C128" t="s">
        <v>102</v>
      </c>
      <c r="D128" t="s">
        <v>95</v>
      </c>
      <c r="E128" t="s">
        <v>96</v>
      </c>
      <c r="G128" t="s">
        <v>247</v>
      </c>
      <c r="J128">
        <v>25</v>
      </c>
      <c r="L128" t="s">
        <v>78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</row>
    <row r="129" spans="1:36" x14ac:dyDescent="0.2">
      <c r="A129" t="s">
        <v>70</v>
      </c>
      <c r="B129" t="s">
        <v>259</v>
      </c>
      <c r="C129" t="s">
        <v>72</v>
      </c>
      <c r="D129" t="s">
        <v>95</v>
      </c>
      <c r="E129" t="s">
        <v>96</v>
      </c>
      <c r="G129" t="s">
        <v>247</v>
      </c>
      <c r="I129" t="s">
        <v>128</v>
      </c>
      <c r="J129">
        <v>4</v>
      </c>
      <c r="K129" s="2">
        <v>5.4216674667946801E-2</v>
      </c>
      <c r="L129" t="s">
        <v>78</v>
      </c>
      <c r="M129">
        <v>14339</v>
      </c>
      <c r="N129">
        <v>169</v>
      </c>
      <c r="O129">
        <v>1.18E-2</v>
      </c>
      <c r="P129">
        <v>107.3</v>
      </c>
      <c r="Q129">
        <v>0.63</v>
      </c>
      <c r="R129">
        <v>255</v>
      </c>
      <c r="S129">
        <v>6</v>
      </c>
      <c r="T129">
        <v>131.11000000000001</v>
      </c>
      <c r="U129">
        <v>0.81840000000000002</v>
      </c>
      <c r="V129">
        <v>1.2219</v>
      </c>
      <c r="W129">
        <v>5</v>
      </c>
      <c r="X129">
        <v>0.83330000000000004</v>
      </c>
      <c r="Y129">
        <v>111.26</v>
      </c>
      <c r="Z129">
        <v>0.84860000000000002</v>
      </c>
      <c r="AA129">
        <v>2346</v>
      </c>
      <c r="AB129">
        <v>45.74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</row>
    <row r="130" spans="1:36" x14ac:dyDescent="0.2">
      <c r="A130" t="s">
        <v>70</v>
      </c>
      <c r="B130" t="s">
        <v>260</v>
      </c>
      <c r="C130" t="s">
        <v>72</v>
      </c>
      <c r="D130" t="s">
        <v>73</v>
      </c>
      <c r="E130" t="s">
        <v>96</v>
      </c>
      <c r="F130" t="s">
        <v>75</v>
      </c>
      <c r="G130" t="s">
        <v>261</v>
      </c>
      <c r="I130" t="s">
        <v>128</v>
      </c>
      <c r="J130">
        <v>9</v>
      </c>
      <c r="K130" t="s">
        <v>77</v>
      </c>
      <c r="L130" t="s">
        <v>78</v>
      </c>
      <c r="M130">
        <v>16176</v>
      </c>
      <c r="N130">
        <v>149</v>
      </c>
      <c r="O130">
        <v>9.1999999999999998E-3</v>
      </c>
      <c r="P130">
        <v>112.43</v>
      </c>
      <c r="Q130">
        <v>0.75</v>
      </c>
      <c r="R130">
        <v>0</v>
      </c>
      <c r="S130">
        <v>10</v>
      </c>
      <c r="T130">
        <v>249.97</v>
      </c>
      <c r="U130">
        <v>0.44979999999999998</v>
      </c>
      <c r="V130">
        <v>2.2233000000000001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</row>
    <row r="131" spans="1:36" x14ac:dyDescent="0.2">
      <c r="A131" t="s">
        <v>100</v>
      </c>
      <c r="B131" t="s">
        <v>262</v>
      </c>
      <c r="C131" t="s">
        <v>102</v>
      </c>
      <c r="D131" t="s">
        <v>73</v>
      </c>
      <c r="E131" t="s">
        <v>96</v>
      </c>
      <c r="F131" t="s">
        <v>75</v>
      </c>
      <c r="G131" s="1">
        <v>45055</v>
      </c>
      <c r="I131" t="s">
        <v>142</v>
      </c>
      <c r="J131">
        <v>10</v>
      </c>
      <c r="L131" t="s">
        <v>78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</row>
    <row r="132" spans="1:36" x14ac:dyDescent="0.2">
      <c r="A132" t="s">
        <v>70</v>
      </c>
      <c r="B132" t="s">
        <v>263</v>
      </c>
      <c r="C132" t="s">
        <v>72</v>
      </c>
      <c r="D132" t="s">
        <v>73</v>
      </c>
      <c r="E132" t="s">
        <v>96</v>
      </c>
      <c r="F132" t="s">
        <v>75</v>
      </c>
      <c r="G132" t="s">
        <v>264</v>
      </c>
      <c r="I132" t="s">
        <v>265</v>
      </c>
      <c r="J132">
        <v>22</v>
      </c>
      <c r="K132" t="s">
        <v>77</v>
      </c>
      <c r="L132" t="s">
        <v>78</v>
      </c>
      <c r="M132">
        <v>61473</v>
      </c>
      <c r="N132">
        <v>300</v>
      </c>
      <c r="O132">
        <v>4.8999999999999998E-3</v>
      </c>
      <c r="P132">
        <v>87.94</v>
      </c>
      <c r="Q132">
        <v>0.28999999999999998</v>
      </c>
      <c r="R132">
        <v>0</v>
      </c>
      <c r="S132">
        <v>1</v>
      </c>
      <c r="T132">
        <v>78.95</v>
      </c>
      <c r="U132">
        <v>1.1138999999999999</v>
      </c>
      <c r="V132">
        <v>0.89780000000000004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</row>
    <row r="133" spans="1:36" x14ac:dyDescent="0.2">
      <c r="A133" t="s">
        <v>70</v>
      </c>
      <c r="B133" t="s">
        <v>266</v>
      </c>
      <c r="C133" t="s">
        <v>72</v>
      </c>
      <c r="D133" t="s">
        <v>73</v>
      </c>
      <c r="E133" t="s">
        <v>96</v>
      </c>
      <c r="F133" t="s">
        <v>75</v>
      </c>
      <c r="G133" t="s">
        <v>264</v>
      </c>
      <c r="I133" t="s">
        <v>267</v>
      </c>
      <c r="J133">
        <v>8</v>
      </c>
      <c r="K133" t="s">
        <v>77</v>
      </c>
      <c r="L133" t="s">
        <v>78</v>
      </c>
      <c r="M133">
        <v>6732</v>
      </c>
      <c r="N133">
        <v>26</v>
      </c>
      <c r="O133">
        <v>3.8999999999999998E-3</v>
      </c>
      <c r="P133">
        <v>20.8</v>
      </c>
      <c r="Q133">
        <v>0.8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</row>
    <row r="134" spans="1:36" x14ac:dyDescent="0.2">
      <c r="A134" t="s">
        <v>70</v>
      </c>
      <c r="B134" t="s">
        <v>268</v>
      </c>
      <c r="C134" t="s">
        <v>72</v>
      </c>
      <c r="D134" t="s">
        <v>256</v>
      </c>
      <c r="E134" t="s">
        <v>96</v>
      </c>
      <c r="G134" t="s">
        <v>269</v>
      </c>
      <c r="J134">
        <v>15</v>
      </c>
      <c r="L134" t="s">
        <v>78</v>
      </c>
      <c r="M134">
        <v>470</v>
      </c>
      <c r="N134">
        <v>3</v>
      </c>
      <c r="O134">
        <v>6.4000000000000003E-3</v>
      </c>
      <c r="P134">
        <v>0.6</v>
      </c>
      <c r="Q134">
        <v>0.2</v>
      </c>
      <c r="R134">
        <v>6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</row>
    <row r="135" spans="1:36" x14ac:dyDescent="0.2">
      <c r="A135" t="s">
        <v>70</v>
      </c>
      <c r="B135" t="s">
        <v>270</v>
      </c>
      <c r="C135" t="s">
        <v>72</v>
      </c>
      <c r="D135" t="s">
        <v>256</v>
      </c>
      <c r="E135" t="s">
        <v>96</v>
      </c>
      <c r="G135" t="s">
        <v>269</v>
      </c>
      <c r="J135">
        <v>8</v>
      </c>
      <c r="L135" t="s">
        <v>78</v>
      </c>
      <c r="M135">
        <v>1567</v>
      </c>
      <c r="N135">
        <v>7</v>
      </c>
      <c r="O135">
        <v>4.4999999999999997E-3</v>
      </c>
      <c r="P135">
        <v>1.73</v>
      </c>
      <c r="Q135">
        <v>0.25</v>
      </c>
      <c r="R135">
        <v>11</v>
      </c>
      <c r="S135">
        <v>1</v>
      </c>
      <c r="T135">
        <v>31.95</v>
      </c>
      <c r="U135">
        <v>5.4100000000000002E-2</v>
      </c>
      <c r="V135">
        <v>18.4682</v>
      </c>
      <c r="W135">
        <v>1</v>
      </c>
      <c r="X135">
        <v>1</v>
      </c>
      <c r="Y135">
        <v>31.95</v>
      </c>
      <c r="Z135">
        <v>1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</row>
    <row r="136" spans="1:36" x14ac:dyDescent="0.2">
      <c r="A136" t="s">
        <v>70</v>
      </c>
      <c r="B136" t="s">
        <v>271</v>
      </c>
      <c r="C136" t="s">
        <v>72</v>
      </c>
      <c r="D136" t="s">
        <v>256</v>
      </c>
      <c r="E136" t="s">
        <v>96</v>
      </c>
      <c r="G136" t="s">
        <v>269</v>
      </c>
      <c r="J136">
        <v>8</v>
      </c>
      <c r="L136" t="s">
        <v>78</v>
      </c>
      <c r="M136">
        <v>7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</row>
    <row r="137" spans="1:36" x14ac:dyDescent="0.2">
      <c r="A137" t="s">
        <v>70</v>
      </c>
      <c r="B137" t="s">
        <v>272</v>
      </c>
      <c r="C137" t="s">
        <v>72</v>
      </c>
      <c r="D137" t="s">
        <v>256</v>
      </c>
      <c r="E137" t="s">
        <v>96</v>
      </c>
      <c r="G137" t="s">
        <v>269</v>
      </c>
      <c r="J137">
        <v>15</v>
      </c>
      <c r="L137" t="s">
        <v>78</v>
      </c>
      <c r="M137">
        <v>28690</v>
      </c>
      <c r="N137">
        <v>92</v>
      </c>
      <c r="O137">
        <v>3.2000000000000002E-3</v>
      </c>
      <c r="P137">
        <v>49.65</v>
      </c>
      <c r="Q137">
        <v>0.54</v>
      </c>
      <c r="R137">
        <v>152</v>
      </c>
      <c r="S137">
        <v>1</v>
      </c>
      <c r="T137">
        <v>21.56</v>
      </c>
      <c r="U137">
        <v>2.3029000000000002</v>
      </c>
      <c r="V137">
        <v>0.43419999999999997</v>
      </c>
      <c r="W137">
        <v>1</v>
      </c>
      <c r="X137">
        <v>1</v>
      </c>
      <c r="Y137">
        <v>21.56</v>
      </c>
      <c r="Z137">
        <v>1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</row>
    <row r="138" spans="1:36" x14ac:dyDescent="0.2">
      <c r="A138" t="s">
        <v>70</v>
      </c>
      <c r="B138" t="s">
        <v>273</v>
      </c>
      <c r="C138" t="s">
        <v>72</v>
      </c>
      <c r="D138" t="s">
        <v>256</v>
      </c>
      <c r="E138" t="s">
        <v>96</v>
      </c>
      <c r="G138" t="s">
        <v>269</v>
      </c>
      <c r="J138">
        <v>8</v>
      </c>
      <c r="L138" t="s">
        <v>78</v>
      </c>
      <c r="M138">
        <v>230</v>
      </c>
      <c r="N138">
        <v>1</v>
      </c>
      <c r="O138">
        <v>4.3E-3</v>
      </c>
      <c r="P138">
        <v>0.18</v>
      </c>
      <c r="Q138">
        <v>0.18</v>
      </c>
      <c r="R138">
        <v>1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</row>
    <row r="139" spans="1:36" x14ac:dyDescent="0.2">
      <c r="A139" t="s">
        <v>70</v>
      </c>
      <c r="B139" t="s">
        <v>274</v>
      </c>
      <c r="C139" t="s">
        <v>72</v>
      </c>
      <c r="D139" t="s">
        <v>256</v>
      </c>
      <c r="E139" t="s">
        <v>96</v>
      </c>
      <c r="G139" t="s">
        <v>269</v>
      </c>
      <c r="J139">
        <v>8</v>
      </c>
      <c r="L139" t="s">
        <v>78</v>
      </c>
      <c r="M139">
        <v>32154</v>
      </c>
      <c r="N139">
        <v>167</v>
      </c>
      <c r="O139">
        <v>5.1999999999999998E-3</v>
      </c>
      <c r="P139">
        <v>49.19</v>
      </c>
      <c r="Q139">
        <v>0.28999999999999998</v>
      </c>
      <c r="R139">
        <v>279</v>
      </c>
      <c r="S139">
        <v>1</v>
      </c>
      <c r="T139">
        <v>230.17</v>
      </c>
      <c r="U139">
        <v>0.2137</v>
      </c>
      <c r="V139">
        <v>4.6791999999999998</v>
      </c>
      <c r="W139">
        <v>1</v>
      </c>
      <c r="X139">
        <v>1</v>
      </c>
      <c r="Y139">
        <v>230.17</v>
      </c>
      <c r="Z139">
        <v>1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</row>
    <row r="140" spans="1:36" x14ac:dyDescent="0.2">
      <c r="A140" t="s">
        <v>70</v>
      </c>
      <c r="B140" t="s">
        <v>275</v>
      </c>
      <c r="C140" t="s">
        <v>72</v>
      </c>
      <c r="D140" t="s">
        <v>256</v>
      </c>
      <c r="E140" t="s">
        <v>96</v>
      </c>
      <c r="G140" t="s">
        <v>269</v>
      </c>
      <c r="J140">
        <v>8</v>
      </c>
      <c r="L140" t="s">
        <v>78</v>
      </c>
      <c r="M140">
        <v>827</v>
      </c>
      <c r="N140">
        <v>4</v>
      </c>
      <c r="O140">
        <v>4.7999999999999996E-3</v>
      </c>
      <c r="P140">
        <v>0.83</v>
      </c>
      <c r="Q140">
        <v>0.21</v>
      </c>
      <c r="R140">
        <v>13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</row>
    <row r="141" spans="1:36" x14ac:dyDescent="0.2">
      <c r="A141" t="s">
        <v>70</v>
      </c>
      <c r="B141" t="s">
        <v>276</v>
      </c>
      <c r="C141" t="s">
        <v>72</v>
      </c>
      <c r="D141" t="s">
        <v>256</v>
      </c>
      <c r="E141" t="s">
        <v>96</v>
      </c>
      <c r="G141" t="s">
        <v>269</v>
      </c>
      <c r="J141">
        <v>8</v>
      </c>
      <c r="L141" t="s">
        <v>78</v>
      </c>
      <c r="M141">
        <v>25</v>
      </c>
      <c r="N141">
        <v>1</v>
      </c>
      <c r="O141">
        <v>0.04</v>
      </c>
      <c r="P141">
        <v>0.44</v>
      </c>
      <c r="Q141">
        <v>0.44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</row>
    <row r="142" spans="1:36" x14ac:dyDescent="0.2">
      <c r="A142" t="s">
        <v>70</v>
      </c>
      <c r="B142" t="s">
        <v>277</v>
      </c>
      <c r="C142" t="s">
        <v>72</v>
      </c>
      <c r="D142" t="s">
        <v>256</v>
      </c>
      <c r="E142" t="s">
        <v>96</v>
      </c>
      <c r="G142" t="s">
        <v>269</v>
      </c>
      <c r="J142">
        <v>8</v>
      </c>
      <c r="L142" t="s">
        <v>78</v>
      </c>
      <c r="M142">
        <v>776</v>
      </c>
      <c r="N142">
        <v>3</v>
      </c>
      <c r="O142">
        <v>3.8999999999999998E-3</v>
      </c>
      <c r="P142">
        <v>0.56000000000000005</v>
      </c>
      <c r="Q142">
        <v>0.19</v>
      </c>
      <c r="R142">
        <v>13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</row>
    <row r="143" spans="1:36" x14ac:dyDescent="0.2">
      <c r="A143" t="s">
        <v>100</v>
      </c>
      <c r="B143" t="s">
        <v>278</v>
      </c>
      <c r="C143" t="s">
        <v>102</v>
      </c>
      <c r="D143" t="s">
        <v>256</v>
      </c>
      <c r="E143" t="s">
        <v>96</v>
      </c>
      <c r="G143" t="s">
        <v>269</v>
      </c>
      <c r="J143">
        <v>8</v>
      </c>
      <c r="L143" t="s">
        <v>78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</row>
    <row r="144" spans="1:36" x14ac:dyDescent="0.2">
      <c r="A144" t="s">
        <v>70</v>
      </c>
      <c r="B144" t="s">
        <v>279</v>
      </c>
      <c r="C144" t="s">
        <v>72</v>
      </c>
      <c r="D144" t="s">
        <v>256</v>
      </c>
      <c r="E144" t="s">
        <v>96</v>
      </c>
      <c r="G144" t="s">
        <v>269</v>
      </c>
      <c r="J144">
        <v>8</v>
      </c>
      <c r="L144" t="s">
        <v>78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</row>
    <row r="145" spans="1:36" x14ac:dyDescent="0.2">
      <c r="A145" t="s">
        <v>70</v>
      </c>
      <c r="B145" t="s">
        <v>280</v>
      </c>
      <c r="C145" t="s">
        <v>72</v>
      </c>
      <c r="D145" t="s">
        <v>256</v>
      </c>
      <c r="E145" t="s">
        <v>96</v>
      </c>
      <c r="G145" t="s">
        <v>269</v>
      </c>
      <c r="J145">
        <v>8</v>
      </c>
      <c r="L145" t="s">
        <v>78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</row>
    <row r="146" spans="1:36" x14ac:dyDescent="0.2">
      <c r="A146" t="s">
        <v>100</v>
      </c>
      <c r="B146" t="s">
        <v>281</v>
      </c>
      <c r="C146" t="s">
        <v>102</v>
      </c>
      <c r="D146" t="s">
        <v>256</v>
      </c>
      <c r="E146" t="s">
        <v>96</v>
      </c>
      <c r="G146" t="s">
        <v>269</v>
      </c>
      <c r="J146">
        <v>15</v>
      </c>
      <c r="L146" t="s">
        <v>78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</row>
    <row r="147" spans="1:36" x14ac:dyDescent="0.2">
      <c r="A147" t="s">
        <v>70</v>
      </c>
      <c r="B147" t="s">
        <v>282</v>
      </c>
      <c r="C147" t="s">
        <v>72</v>
      </c>
      <c r="D147" t="s">
        <v>256</v>
      </c>
      <c r="E147" t="s">
        <v>96</v>
      </c>
      <c r="G147" t="s">
        <v>269</v>
      </c>
      <c r="J147">
        <v>8</v>
      </c>
      <c r="L147" t="s">
        <v>78</v>
      </c>
      <c r="M147">
        <v>36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</row>
    <row r="148" spans="1:36" x14ac:dyDescent="0.2">
      <c r="A148" t="s">
        <v>70</v>
      </c>
      <c r="B148" t="s">
        <v>283</v>
      </c>
      <c r="C148" t="s">
        <v>72</v>
      </c>
      <c r="D148" t="s">
        <v>256</v>
      </c>
      <c r="E148" t="s">
        <v>96</v>
      </c>
      <c r="G148" t="s">
        <v>269</v>
      </c>
      <c r="I148" t="s">
        <v>128</v>
      </c>
      <c r="J148">
        <v>15</v>
      </c>
      <c r="L148" t="s">
        <v>78</v>
      </c>
      <c r="M148">
        <v>9720</v>
      </c>
      <c r="N148">
        <v>32</v>
      </c>
      <c r="O148">
        <v>3.3E-3</v>
      </c>
      <c r="P148">
        <v>15.84</v>
      </c>
      <c r="Q148">
        <v>0.5</v>
      </c>
      <c r="R148">
        <v>50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</row>
    <row r="149" spans="1:36" x14ac:dyDescent="0.2">
      <c r="A149" t="s">
        <v>100</v>
      </c>
      <c r="B149" t="s">
        <v>284</v>
      </c>
      <c r="C149" t="s">
        <v>102</v>
      </c>
      <c r="D149" t="s">
        <v>256</v>
      </c>
      <c r="E149" t="s">
        <v>96</v>
      </c>
      <c r="G149" t="s">
        <v>269</v>
      </c>
      <c r="J149">
        <v>8</v>
      </c>
      <c r="L149" t="s">
        <v>78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</row>
    <row r="150" spans="1:36" x14ac:dyDescent="0.2">
      <c r="A150" t="s">
        <v>70</v>
      </c>
      <c r="B150" t="s">
        <v>285</v>
      </c>
      <c r="C150" t="s">
        <v>72</v>
      </c>
      <c r="D150" t="s">
        <v>256</v>
      </c>
      <c r="E150" t="s">
        <v>96</v>
      </c>
      <c r="G150" t="s">
        <v>269</v>
      </c>
      <c r="J150">
        <v>8</v>
      </c>
      <c r="L150" t="s">
        <v>78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</row>
    <row r="151" spans="1:36" x14ac:dyDescent="0.2">
      <c r="A151" t="s">
        <v>70</v>
      </c>
      <c r="B151" t="s">
        <v>286</v>
      </c>
      <c r="C151" t="s">
        <v>72</v>
      </c>
      <c r="D151" t="s">
        <v>256</v>
      </c>
      <c r="E151" t="s">
        <v>96</v>
      </c>
      <c r="G151" t="s">
        <v>269</v>
      </c>
      <c r="J151">
        <v>15</v>
      </c>
      <c r="L151" t="s">
        <v>78</v>
      </c>
      <c r="M151">
        <v>1636</v>
      </c>
      <c r="N151">
        <v>8</v>
      </c>
      <c r="O151">
        <v>4.8999999999999998E-3</v>
      </c>
      <c r="P151">
        <v>1.76</v>
      </c>
      <c r="Q151">
        <v>0.22</v>
      </c>
      <c r="R151">
        <v>11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</row>
    <row r="152" spans="1:36" x14ac:dyDescent="0.2">
      <c r="A152" t="s">
        <v>70</v>
      </c>
      <c r="B152" t="s">
        <v>287</v>
      </c>
      <c r="C152" t="s">
        <v>72</v>
      </c>
      <c r="D152" t="s">
        <v>256</v>
      </c>
      <c r="E152" t="s">
        <v>96</v>
      </c>
      <c r="G152" t="s">
        <v>269</v>
      </c>
      <c r="J152">
        <v>15</v>
      </c>
      <c r="L152" t="s">
        <v>78</v>
      </c>
      <c r="M152">
        <v>319</v>
      </c>
      <c r="N152">
        <v>2</v>
      </c>
      <c r="O152">
        <v>6.3E-3</v>
      </c>
      <c r="P152">
        <v>0.68</v>
      </c>
      <c r="Q152">
        <v>0.34</v>
      </c>
      <c r="R152">
        <v>2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</row>
    <row r="153" spans="1:36" x14ac:dyDescent="0.2">
      <c r="A153" t="s">
        <v>70</v>
      </c>
      <c r="B153" t="s">
        <v>288</v>
      </c>
      <c r="C153" t="s">
        <v>72</v>
      </c>
      <c r="D153" t="s">
        <v>73</v>
      </c>
      <c r="E153" t="s">
        <v>96</v>
      </c>
      <c r="F153" t="s">
        <v>75</v>
      </c>
      <c r="G153" t="s">
        <v>289</v>
      </c>
      <c r="J153">
        <v>8</v>
      </c>
      <c r="K153" t="s">
        <v>77</v>
      </c>
      <c r="L153" t="s">
        <v>78</v>
      </c>
      <c r="M153">
        <v>112107</v>
      </c>
      <c r="N153">
        <v>200</v>
      </c>
      <c r="O153">
        <v>1.8E-3</v>
      </c>
      <c r="P153">
        <v>150.24</v>
      </c>
      <c r="Q153">
        <v>0.75</v>
      </c>
      <c r="R153">
        <v>0</v>
      </c>
      <c r="S153">
        <v>3</v>
      </c>
      <c r="T153">
        <v>65.150000000000006</v>
      </c>
      <c r="U153">
        <v>2.3060999999999998</v>
      </c>
      <c r="V153">
        <v>0.43359999999999999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</row>
    <row r="154" spans="1:36" x14ac:dyDescent="0.2">
      <c r="A154" t="s">
        <v>70</v>
      </c>
      <c r="B154" t="s">
        <v>290</v>
      </c>
      <c r="C154" t="s">
        <v>72</v>
      </c>
      <c r="D154" t="s">
        <v>73</v>
      </c>
      <c r="E154" t="s">
        <v>96</v>
      </c>
      <c r="F154" t="s">
        <v>75</v>
      </c>
      <c r="G154" t="s">
        <v>289</v>
      </c>
      <c r="J154">
        <v>6</v>
      </c>
      <c r="K154" t="s">
        <v>77</v>
      </c>
      <c r="L154" t="s">
        <v>78</v>
      </c>
      <c r="M154">
        <v>26443</v>
      </c>
      <c r="N154">
        <v>71</v>
      </c>
      <c r="O154">
        <v>2.7000000000000001E-3</v>
      </c>
      <c r="P154">
        <v>58.34</v>
      </c>
      <c r="Q154">
        <v>0.82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</row>
    <row r="155" spans="1:36" x14ac:dyDescent="0.2">
      <c r="A155" t="s">
        <v>100</v>
      </c>
      <c r="B155" t="s">
        <v>291</v>
      </c>
      <c r="C155" t="s">
        <v>102</v>
      </c>
      <c r="D155" t="s">
        <v>73</v>
      </c>
      <c r="E155" t="s">
        <v>96</v>
      </c>
      <c r="F155" t="s">
        <v>75</v>
      </c>
      <c r="G155" t="s">
        <v>289</v>
      </c>
      <c r="J155">
        <v>6</v>
      </c>
      <c r="L155" t="s">
        <v>78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</row>
    <row r="156" spans="1:36" x14ac:dyDescent="0.2">
      <c r="A156" t="s">
        <v>70</v>
      </c>
      <c r="B156" t="s">
        <v>292</v>
      </c>
      <c r="C156" t="s">
        <v>72</v>
      </c>
      <c r="D156" t="s">
        <v>73</v>
      </c>
      <c r="E156" t="s">
        <v>96</v>
      </c>
      <c r="F156" t="s">
        <v>75</v>
      </c>
      <c r="G156" t="s">
        <v>289</v>
      </c>
      <c r="J156">
        <v>8</v>
      </c>
      <c r="K156" t="s">
        <v>77</v>
      </c>
      <c r="L156" t="s">
        <v>78</v>
      </c>
      <c r="M156">
        <v>7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</row>
    <row r="157" spans="1:36" x14ac:dyDescent="0.2">
      <c r="A157" t="s">
        <v>70</v>
      </c>
      <c r="B157" t="s">
        <v>293</v>
      </c>
      <c r="C157" t="s">
        <v>72</v>
      </c>
      <c r="D157" t="s">
        <v>73</v>
      </c>
      <c r="E157" t="s">
        <v>96</v>
      </c>
      <c r="F157" t="s">
        <v>75</v>
      </c>
      <c r="G157" t="s">
        <v>289</v>
      </c>
      <c r="J157">
        <v>8</v>
      </c>
      <c r="K157" t="s">
        <v>77</v>
      </c>
      <c r="L157" t="s">
        <v>78</v>
      </c>
      <c r="M157">
        <v>4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</row>
    <row r="158" spans="1:36" x14ac:dyDescent="0.2">
      <c r="A158" t="s">
        <v>100</v>
      </c>
      <c r="B158" t="s">
        <v>294</v>
      </c>
      <c r="C158" t="s">
        <v>102</v>
      </c>
      <c r="D158" t="s">
        <v>73</v>
      </c>
      <c r="E158" t="s">
        <v>96</v>
      </c>
      <c r="F158" t="s">
        <v>75</v>
      </c>
      <c r="G158" t="s">
        <v>289</v>
      </c>
      <c r="J158">
        <v>7.5</v>
      </c>
      <c r="L158" t="s">
        <v>78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</row>
    <row r="159" spans="1:36" x14ac:dyDescent="0.2">
      <c r="A159" t="s">
        <v>100</v>
      </c>
      <c r="B159" t="s">
        <v>295</v>
      </c>
      <c r="C159" t="s">
        <v>102</v>
      </c>
      <c r="D159" t="s">
        <v>73</v>
      </c>
      <c r="E159" t="s">
        <v>96</v>
      </c>
      <c r="F159" t="s">
        <v>75</v>
      </c>
      <c r="G159" t="s">
        <v>289</v>
      </c>
      <c r="J159">
        <v>6</v>
      </c>
      <c r="L159" t="s">
        <v>78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</row>
    <row r="160" spans="1:36" x14ac:dyDescent="0.2">
      <c r="A160" t="s">
        <v>100</v>
      </c>
      <c r="B160" t="s">
        <v>296</v>
      </c>
      <c r="C160" t="s">
        <v>102</v>
      </c>
      <c r="D160" t="s">
        <v>73</v>
      </c>
      <c r="E160" t="s">
        <v>96</v>
      </c>
      <c r="F160" t="s">
        <v>75</v>
      </c>
      <c r="G160" t="s">
        <v>289</v>
      </c>
      <c r="J160">
        <v>3</v>
      </c>
      <c r="L160" t="s">
        <v>78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</row>
    <row r="161" spans="1:36" x14ac:dyDescent="0.2">
      <c r="A161" t="s">
        <v>100</v>
      </c>
      <c r="B161" t="s">
        <v>297</v>
      </c>
      <c r="C161" t="s">
        <v>102</v>
      </c>
      <c r="D161" t="s">
        <v>256</v>
      </c>
      <c r="E161" t="s">
        <v>96</v>
      </c>
      <c r="G161" t="s">
        <v>298</v>
      </c>
      <c r="J161">
        <v>8</v>
      </c>
      <c r="L161" t="s">
        <v>78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</row>
    <row r="162" spans="1:36" x14ac:dyDescent="0.2">
      <c r="A162" t="s">
        <v>70</v>
      </c>
      <c r="B162" t="s">
        <v>299</v>
      </c>
      <c r="C162" t="s">
        <v>72</v>
      </c>
      <c r="D162" t="s">
        <v>95</v>
      </c>
      <c r="E162" t="s">
        <v>96</v>
      </c>
      <c r="G162" t="s">
        <v>300</v>
      </c>
      <c r="J162">
        <v>4</v>
      </c>
      <c r="K162" t="s">
        <v>77</v>
      </c>
      <c r="L162" t="s">
        <v>78</v>
      </c>
      <c r="M162">
        <v>31225</v>
      </c>
      <c r="N162">
        <v>163</v>
      </c>
      <c r="O162">
        <v>5.1999999999999998E-3</v>
      </c>
      <c r="P162">
        <v>39.15</v>
      </c>
      <c r="Q162">
        <v>0.24</v>
      </c>
      <c r="R162">
        <v>144</v>
      </c>
      <c r="S162">
        <v>4</v>
      </c>
      <c r="T162">
        <v>209.55</v>
      </c>
      <c r="U162">
        <v>0.18679999999999999</v>
      </c>
      <c r="V162">
        <v>5.3525</v>
      </c>
      <c r="W162">
        <v>4</v>
      </c>
      <c r="X162">
        <v>1</v>
      </c>
      <c r="Y162">
        <v>209.55</v>
      </c>
      <c r="Z162">
        <v>1</v>
      </c>
      <c r="AA162">
        <v>10295</v>
      </c>
      <c r="AB162">
        <v>3.8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</row>
    <row r="163" spans="1:36" x14ac:dyDescent="0.2">
      <c r="A163" t="s">
        <v>70</v>
      </c>
      <c r="B163" t="s">
        <v>301</v>
      </c>
      <c r="C163" t="s">
        <v>72</v>
      </c>
      <c r="D163" t="s">
        <v>95</v>
      </c>
      <c r="E163" t="s">
        <v>96</v>
      </c>
      <c r="G163" t="s">
        <v>302</v>
      </c>
      <c r="I163" t="s">
        <v>126</v>
      </c>
      <c r="J163">
        <v>15</v>
      </c>
      <c r="K163" t="s">
        <v>77</v>
      </c>
      <c r="L163" t="s">
        <v>78</v>
      </c>
      <c r="M163">
        <v>720887</v>
      </c>
      <c r="N163">
        <v>1025</v>
      </c>
      <c r="O163">
        <v>1.4E-3</v>
      </c>
      <c r="P163">
        <v>303.85000000000002</v>
      </c>
      <c r="Q163">
        <v>0.3</v>
      </c>
      <c r="R163">
        <v>1113</v>
      </c>
      <c r="S163">
        <v>37</v>
      </c>
      <c r="T163">
        <v>891.87</v>
      </c>
      <c r="U163">
        <v>0.3407</v>
      </c>
      <c r="V163">
        <v>2.9352</v>
      </c>
      <c r="W163">
        <v>29</v>
      </c>
      <c r="X163">
        <v>0.78380000000000005</v>
      </c>
      <c r="Y163">
        <v>627.08000000000004</v>
      </c>
      <c r="Z163">
        <v>0.70309999999999995</v>
      </c>
      <c r="AA163">
        <v>124667</v>
      </c>
      <c r="AB163">
        <v>2.44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</row>
    <row r="164" spans="1:36" x14ac:dyDescent="0.2">
      <c r="A164" t="s">
        <v>100</v>
      </c>
      <c r="B164" t="s">
        <v>303</v>
      </c>
      <c r="C164" t="s">
        <v>102</v>
      </c>
      <c r="D164" t="s">
        <v>95</v>
      </c>
      <c r="E164" t="s">
        <v>96</v>
      </c>
      <c r="G164" t="s">
        <v>302</v>
      </c>
      <c r="I164" t="s">
        <v>304</v>
      </c>
      <c r="J164">
        <v>21</v>
      </c>
      <c r="L164" t="s">
        <v>78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</row>
    <row r="165" spans="1:36" x14ac:dyDescent="0.2">
      <c r="A165" t="s">
        <v>100</v>
      </c>
      <c r="B165" t="s">
        <v>305</v>
      </c>
      <c r="C165" t="s">
        <v>102</v>
      </c>
      <c r="D165" t="s">
        <v>73</v>
      </c>
      <c r="E165" t="s">
        <v>96</v>
      </c>
      <c r="F165" t="s">
        <v>75</v>
      </c>
      <c r="G165" s="1">
        <v>45238</v>
      </c>
      <c r="J165">
        <v>7</v>
      </c>
      <c r="L165" t="s">
        <v>78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</row>
    <row r="166" spans="1:36" x14ac:dyDescent="0.2">
      <c r="A166" t="s">
        <v>100</v>
      </c>
      <c r="B166" t="s">
        <v>306</v>
      </c>
      <c r="C166" t="s">
        <v>102</v>
      </c>
      <c r="D166" t="s">
        <v>73</v>
      </c>
      <c r="E166" t="s">
        <v>96</v>
      </c>
      <c r="F166" t="s">
        <v>75</v>
      </c>
      <c r="G166" s="1">
        <v>45238</v>
      </c>
      <c r="J166">
        <v>4</v>
      </c>
      <c r="L166" t="s">
        <v>78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</row>
    <row r="167" spans="1:36" x14ac:dyDescent="0.2">
      <c r="A167" t="s">
        <v>100</v>
      </c>
      <c r="B167" t="s">
        <v>307</v>
      </c>
      <c r="C167" t="s">
        <v>102</v>
      </c>
      <c r="D167" t="s">
        <v>73</v>
      </c>
      <c r="E167" t="s">
        <v>96</v>
      </c>
      <c r="F167" t="s">
        <v>75</v>
      </c>
      <c r="G167" s="1">
        <v>45238</v>
      </c>
      <c r="J167">
        <v>15</v>
      </c>
      <c r="L167" t="s">
        <v>78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</row>
    <row r="168" spans="1:36" x14ac:dyDescent="0.2">
      <c r="A168" t="s">
        <v>100</v>
      </c>
      <c r="B168" t="s">
        <v>308</v>
      </c>
      <c r="C168" t="s">
        <v>102</v>
      </c>
      <c r="D168" t="s">
        <v>73</v>
      </c>
      <c r="E168" t="s">
        <v>96</v>
      </c>
      <c r="F168" t="s">
        <v>75</v>
      </c>
      <c r="G168" s="1">
        <v>45238</v>
      </c>
      <c r="J168">
        <v>7</v>
      </c>
      <c r="L168" t="s">
        <v>78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</row>
    <row r="169" spans="1:36" x14ac:dyDescent="0.2">
      <c r="A169" t="s">
        <v>100</v>
      </c>
      <c r="B169" t="s">
        <v>309</v>
      </c>
      <c r="C169" t="s">
        <v>102</v>
      </c>
      <c r="D169" t="s">
        <v>73</v>
      </c>
      <c r="E169" t="s">
        <v>96</v>
      </c>
      <c r="F169" t="s">
        <v>75</v>
      </c>
      <c r="G169" s="1">
        <v>45238</v>
      </c>
      <c r="J169">
        <v>8.4</v>
      </c>
      <c r="L169" t="s">
        <v>78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</row>
    <row r="170" spans="1:36" x14ac:dyDescent="0.2">
      <c r="A170" t="s">
        <v>70</v>
      </c>
      <c r="B170" t="s">
        <v>310</v>
      </c>
      <c r="C170" t="s">
        <v>72</v>
      </c>
      <c r="D170" t="s">
        <v>73</v>
      </c>
      <c r="E170" t="s">
        <v>96</v>
      </c>
      <c r="F170" t="s">
        <v>75</v>
      </c>
      <c r="G170" s="1">
        <v>45238</v>
      </c>
      <c r="J170">
        <v>8</v>
      </c>
      <c r="K170" t="s">
        <v>77</v>
      </c>
      <c r="L170" t="s">
        <v>78</v>
      </c>
      <c r="M170">
        <v>49260</v>
      </c>
      <c r="N170">
        <v>169</v>
      </c>
      <c r="O170">
        <v>3.3999999999999998E-3</v>
      </c>
      <c r="P170">
        <v>103.16</v>
      </c>
      <c r="Q170">
        <v>0.61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</row>
    <row r="171" spans="1:36" x14ac:dyDescent="0.2">
      <c r="A171" t="s">
        <v>100</v>
      </c>
      <c r="B171" t="s">
        <v>311</v>
      </c>
      <c r="C171" t="s">
        <v>102</v>
      </c>
      <c r="D171" t="s">
        <v>73</v>
      </c>
      <c r="E171" t="s">
        <v>96</v>
      </c>
      <c r="F171" t="s">
        <v>75</v>
      </c>
      <c r="G171" s="1">
        <v>45238</v>
      </c>
      <c r="J171">
        <v>8</v>
      </c>
      <c r="L171" t="s">
        <v>78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</row>
    <row r="172" spans="1:36" x14ac:dyDescent="0.2">
      <c r="A172" t="s">
        <v>100</v>
      </c>
      <c r="B172" t="s">
        <v>312</v>
      </c>
      <c r="C172" t="s">
        <v>102</v>
      </c>
      <c r="D172" t="s">
        <v>73</v>
      </c>
      <c r="E172" t="s">
        <v>96</v>
      </c>
      <c r="F172" t="s">
        <v>75</v>
      </c>
      <c r="G172" s="1">
        <v>45238</v>
      </c>
      <c r="J172">
        <v>5.0999999999999996</v>
      </c>
      <c r="L172" t="s">
        <v>78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</row>
    <row r="173" spans="1:36" x14ac:dyDescent="0.2">
      <c r="A173" t="s">
        <v>70</v>
      </c>
      <c r="B173" t="s">
        <v>313</v>
      </c>
      <c r="C173" t="s">
        <v>72</v>
      </c>
      <c r="D173" t="s">
        <v>73</v>
      </c>
      <c r="E173" t="s">
        <v>96</v>
      </c>
      <c r="F173" t="s">
        <v>75</v>
      </c>
      <c r="G173" s="1">
        <v>45238</v>
      </c>
      <c r="J173">
        <v>18</v>
      </c>
      <c r="K173" t="s">
        <v>77</v>
      </c>
      <c r="L173" t="s">
        <v>78</v>
      </c>
      <c r="M173">
        <v>99664</v>
      </c>
      <c r="N173">
        <v>456</v>
      </c>
      <c r="O173">
        <v>4.5999999999999999E-3</v>
      </c>
      <c r="P173">
        <v>231.26</v>
      </c>
      <c r="Q173">
        <v>0.51</v>
      </c>
      <c r="R173">
        <v>0</v>
      </c>
      <c r="S173">
        <v>13</v>
      </c>
      <c r="T173">
        <v>454.35</v>
      </c>
      <c r="U173">
        <v>0.50900000000000001</v>
      </c>
      <c r="V173">
        <v>1.9646999999999999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</row>
    <row r="174" spans="1:36" x14ac:dyDescent="0.2">
      <c r="A174" t="s">
        <v>70</v>
      </c>
      <c r="B174" t="s">
        <v>314</v>
      </c>
      <c r="C174" t="s">
        <v>72</v>
      </c>
      <c r="D174" t="s">
        <v>73</v>
      </c>
      <c r="E174" t="s">
        <v>96</v>
      </c>
      <c r="F174" t="s">
        <v>75</v>
      </c>
      <c r="G174" s="1">
        <v>45238</v>
      </c>
      <c r="J174">
        <v>7</v>
      </c>
      <c r="K174" t="s">
        <v>77</v>
      </c>
      <c r="L174" t="s">
        <v>78</v>
      </c>
      <c r="M174">
        <v>17150</v>
      </c>
      <c r="N174">
        <v>32</v>
      </c>
      <c r="O174">
        <v>1.9E-3</v>
      </c>
      <c r="P174">
        <v>27.07</v>
      </c>
      <c r="Q174">
        <v>0.85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</row>
    <row r="175" spans="1:36" x14ac:dyDescent="0.2">
      <c r="A175" t="s">
        <v>100</v>
      </c>
      <c r="B175" t="s">
        <v>315</v>
      </c>
      <c r="C175" t="s">
        <v>102</v>
      </c>
      <c r="D175" t="s">
        <v>73</v>
      </c>
      <c r="E175" t="s">
        <v>96</v>
      </c>
      <c r="F175" t="s">
        <v>75</v>
      </c>
      <c r="G175" s="1">
        <v>45238</v>
      </c>
      <c r="J175">
        <v>7</v>
      </c>
      <c r="L175" t="s">
        <v>78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</row>
    <row r="176" spans="1:36" x14ac:dyDescent="0.2">
      <c r="A176" t="s">
        <v>70</v>
      </c>
      <c r="B176" t="s">
        <v>316</v>
      </c>
      <c r="C176" t="s">
        <v>72</v>
      </c>
      <c r="D176" t="s">
        <v>73</v>
      </c>
      <c r="E176" t="s">
        <v>96</v>
      </c>
      <c r="F176" t="s">
        <v>75</v>
      </c>
      <c r="G176" s="1">
        <v>45238</v>
      </c>
      <c r="J176">
        <v>15</v>
      </c>
      <c r="L176" t="s">
        <v>78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</row>
    <row r="177" spans="1:36" x14ac:dyDescent="0.2">
      <c r="A177" t="s">
        <v>100</v>
      </c>
      <c r="B177" t="s">
        <v>317</v>
      </c>
      <c r="C177" t="s">
        <v>102</v>
      </c>
      <c r="D177" t="s">
        <v>73</v>
      </c>
      <c r="E177" t="s">
        <v>96</v>
      </c>
      <c r="F177" t="s">
        <v>75</v>
      </c>
      <c r="G177" s="1">
        <v>45238</v>
      </c>
      <c r="J177">
        <v>7</v>
      </c>
      <c r="L177" t="s">
        <v>78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</row>
    <row r="178" spans="1:36" x14ac:dyDescent="0.2">
      <c r="A178" t="s">
        <v>70</v>
      </c>
      <c r="B178" t="s">
        <v>318</v>
      </c>
      <c r="C178" t="s">
        <v>72</v>
      </c>
      <c r="D178" t="s">
        <v>73</v>
      </c>
      <c r="E178" t="s">
        <v>96</v>
      </c>
      <c r="F178" t="s">
        <v>75</v>
      </c>
      <c r="G178" s="1">
        <v>45238</v>
      </c>
      <c r="J178">
        <v>8</v>
      </c>
      <c r="K178" t="s">
        <v>77</v>
      </c>
      <c r="L178" t="s">
        <v>78</v>
      </c>
      <c r="M178">
        <v>88743</v>
      </c>
      <c r="N178">
        <v>136</v>
      </c>
      <c r="O178">
        <v>1.5E-3</v>
      </c>
      <c r="P178">
        <v>106.71</v>
      </c>
      <c r="Q178">
        <v>0.78</v>
      </c>
      <c r="R178">
        <v>0</v>
      </c>
      <c r="S178">
        <v>1</v>
      </c>
      <c r="T178">
        <v>44.95</v>
      </c>
      <c r="U178">
        <v>2.3740000000000001</v>
      </c>
      <c r="V178">
        <v>0.42120000000000002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</row>
    <row r="179" spans="1:36" x14ac:dyDescent="0.2">
      <c r="A179" t="s">
        <v>100</v>
      </c>
      <c r="B179" t="s">
        <v>319</v>
      </c>
      <c r="C179" t="s">
        <v>102</v>
      </c>
      <c r="D179" t="s">
        <v>73</v>
      </c>
      <c r="E179" t="s">
        <v>96</v>
      </c>
      <c r="F179" t="s">
        <v>75</v>
      </c>
      <c r="G179" s="1">
        <v>45238</v>
      </c>
      <c r="J179">
        <v>7</v>
      </c>
      <c r="L179" t="s">
        <v>78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</row>
    <row r="180" spans="1:36" x14ac:dyDescent="0.2">
      <c r="A180" t="s">
        <v>100</v>
      </c>
      <c r="B180" t="s">
        <v>320</v>
      </c>
      <c r="C180" t="s">
        <v>102</v>
      </c>
      <c r="D180" t="s">
        <v>73</v>
      </c>
      <c r="E180" t="s">
        <v>96</v>
      </c>
      <c r="F180" t="s">
        <v>75</v>
      </c>
      <c r="G180" s="1">
        <v>45238</v>
      </c>
      <c r="J180">
        <v>7.5</v>
      </c>
      <c r="L180" t="s">
        <v>78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</row>
    <row r="181" spans="1:36" x14ac:dyDescent="0.2">
      <c r="A181" t="s">
        <v>100</v>
      </c>
      <c r="B181" t="s">
        <v>321</v>
      </c>
      <c r="C181" t="s">
        <v>102</v>
      </c>
      <c r="D181" t="s">
        <v>73</v>
      </c>
      <c r="E181" t="s">
        <v>96</v>
      </c>
      <c r="F181" t="s">
        <v>75</v>
      </c>
      <c r="G181" s="1">
        <v>45238</v>
      </c>
      <c r="J181">
        <v>9</v>
      </c>
      <c r="L181" t="s">
        <v>78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</row>
    <row r="182" spans="1:36" x14ac:dyDescent="0.2">
      <c r="A182" t="s">
        <v>100</v>
      </c>
      <c r="B182" t="s">
        <v>322</v>
      </c>
      <c r="C182" t="s">
        <v>102</v>
      </c>
      <c r="D182" t="s">
        <v>73</v>
      </c>
      <c r="E182" t="s">
        <v>74</v>
      </c>
      <c r="F182" t="s">
        <v>75</v>
      </c>
      <c r="G182" s="1">
        <v>45207</v>
      </c>
      <c r="J182">
        <v>8</v>
      </c>
      <c r="L182" t="s">
        <v>78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</row>
    <row r="183" spans="1:36" x14ac:dyDescent="0.2">
      <c r="A183" t="s">
        <v>100</v>
      </c>
      <c r="B183" t="s">
        <v>323</v>
      </c>
      <c r="C183" t="s">
        <v>102</v>
      </c>
      <c r="D183" t="s">
        <v>73</v>
      </c>
      <c r="E183" t="s">
        <v>74</v>
      </c>
      <c r="F183" t="s">
        <v>75</v>
      </c>
      <c r="G183" s="1">
        <v>45207</v>
      </c>
      <c r="J183">
        <v>8</v>
      </c>
      <c r="L183" t="s">
        <v>78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</row>
    <row r="184" spans="1:36" x14ac:dyDescent="0.2">
      <c r="A184" t="s">
        <v>100</v>
      </c>
      <c r="B184" t="s">
        <v>324</v>
      </c>
      <c r="C184" t="s">
        <v>102</v>
      </c>
      <c r="D184" t="s">
        <v>73</v>
      </c>
      <c r="E184" t="s">
        <v>74</v>
      </c>
      <c r="F184" t="s">
        <v>75</v>
      </c>
      <c r="G184" s="1">
        <v>45207</v>
      </c>
      <c r="J184">
        <v>8</v>
      </c>
      <c r="L184" t="s">
        <v>78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</row>
    <row r="185" spans="1:36" x14ac:dyDescent="0.2">
      <c r="A185" t="s">
        <v>100</v>
      </c>
      <c r="B185" t="s">
        <v>325</v>
      </c>
      <c r="C185" t="s">
        <v>102</v>
      </c>
      <c r="D185" t="s">
        <v>73</v>
      </c>
      <c r="E185" t="s">
        <v>74</v>
      </c>
      <c r="F185" t="s">
        <v>75</v>
      </c>
      <c r="G185" s="1">
        <v>45207</v>
      </c>
      <c r="J185">
        <v>10</v>
      </c>
      <c r="L185" t="s">
        <v>78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</row>
    <row r="186" spans="1:36" x14ac:dyDescent="0.2">
      <c r="A186" t="s">
        <v>100</v>
      </c>
      <c r="B186" t="s">
        <v>326</v>
      </c>
      <c r="C186" t="s">
        <v>102</v>
      </c>
      <c r="D186" t="s">
        <v>73</v>
      </c>
      <c r="E186" t="s">
        <v>74</v>
      </c>
      <c r="F186" t="s">
        <v>75</v>
      </c>
      <c r="G186" s="1">
        <v>45207</v>
      </c>
      <c r="J186">
        <v>8</v>
      </c>
      <c r="L186" t="s">
        <v>78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</row>
    <row r="187" spans="1:36" x14ac:dyDescent="0.2">
      <c r="A187" t="s">
        <v>70</v>
      </c>
      <c r="B187" t="s">
        <v>327</v>
      </c>
      <c r="C187" t="s">
        <v>72</v>
      </c>
      <c r="D187" t="s">
        <v>73</v>
      </c>
      <c r="E187" t="s">
        <v>74</v>
      </c>
      <c r="F187" t="s">
        <v>75</v>
      </c>
      <c r="G187" s="1">
        <v>45207</v>
      </c>
      <c r="J187">
        <v>32</v>
      </c>
      <c r="K187" t="s">
        <v>77</v>
      </c>
      <c r="L187" t="s">
        <v>78</v>
      </c>
      <c r="M187">
        <v>27542</v>
      </c>
      <c r="N187">
        <v>337</v>
      </c>
      <c r="O187">
        <v>1.2200000000000001E-2</v>
      </c>
      <c r="P187">
        <v>36.93</v>
      </c>
      <c r="Q187">
        <v>0.11</v>
      </c>
      <c r="R187">
        <v>0</v>
      </c>
      <c r="S187">
        <v>6</v>
      </c>
      <c r="T187">
        <v>335.57</v>
      </c>
      <c r="U187">
        <v>0.1101</v>
      </c>
      <c r="V187">
        <v>9.0867000000000004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</row>
    <row r="188" spans="1:36" x14ac:dyDescent="0.2">
      <c r="A188" t="s">
        <v>70</v>
      </c>
      <c r="B188" t="s">
        <v>328</v>
      </c>
      <c r="C188" t="s">
        <v>72</v>
      </c>
      <c r="D188" t="s">
        <v>73</v>
      </c>
      <c r="E188" t="s">
        <v>74</v>
      </c>
      <c r="F188" t="s">
        <v>75</v>
      </c>
      <c r="G188" s="1">
        <v>45207</v>
      </c>
      <c r="J188">
        <v>8</v>
      </c>
      <c r="K188" t="s">
        <v>77</v>
      </c>
      <c r="L188" t="s">
        <v>78</v>
      </c>
      <c r="M188">
        <v>37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</row>
    <row r="189" spans="1:36" x14ac:dyDescent="0.2">
      <c r="A189" t="s">
        <v>100</v>
      </c>
      <c r="B189" t="s">
        <v>329</v>
      </c>
      <c r="C189" t="s">
        <v>102</v>
      </c>
      <c r="D189" t="s">
        <v>73</v>
      </c>
      <c r="E189" t="s">
        <v>74</v>
      </c>
      <c r="F189" t="s">
        <v>75</v>
      </c>
      <c r="G189" s="1">
        <v>45207</v>
      </c>
      <c r="J189">
        <v>8</v>
      </c>
      <c r="L189" t="s">
        <v>78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</row>
    <row r="190" spans="1:36" x14ac:dyDescent="0.2">
      <c r="A190" t="s">
        <v>100</v>
      </c>
      <c r="B190" t="s">
        <v>330</v>
      </c>
      <c r="C190" t="s">
        <v>102</v>
      </c>
      <c r="D190" t="s">
        <v>73</v>
      </c>
      <c r="E190" t="s">
        <v>74</v>
      </c>
      <c r="F190" t="s">
        <v>75</v>
      </c>
      <c r="G190" s="1">
        <v>45207</v>
      </c>
      <c r="J190">
        <v>8</v>
      </c>
      <c r="L190" t="s">
        <v>78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</row>
    <row r="191" spans="1:36" x14ac:dyDescent="0.2">
      <c r="A191" t="s">
        <v>70</v>
      </c>
      <c r="B191" t="s">
        <v>331</v>
      </c>
      <c r="C191" t="s">
        <v>72</v>
      </c>
      <c r="D191" t="s">
        <v>73</v>
      </c>
      <c r="E191" t="s">
        <v>74</v>
      </c>
      <c r="F191" t="s">
        <v>75</v>
      </c>
      <c r="G191" s="1">
        <v>45207</v>
      </c>
      <c r="J191">
        <v>4.8</v>
      </c>
      <c r="K191" t="s">
        <v>77</v>
      </c>
      <c r="L191" t="s">
        <v>78</v>
      </c>
      <c r="M191">
        <v>12749</v>
      </c>
      <c r="N191">
        <v>106</v>
      </c>
      <c r="O191">
        <v>8.3000000000000001E-3</v>
      </c>
      <c r="P191">
        <v>31.25</v>
      </c>
      <c r="Q191">
        <v>0.28999999999999998</v>
      </c>
      <c r="R191">
        <v>0</v>
      </c>
      <c r="S191">
        <v>2</v>
      </c>
      <c r="T191">
        <v>190.38</v>
      </c>
      <c r="U191">
        <v>0.1641</v>
      </c>
      <c r="V191">
        <v>6.0922000000000001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</row>
    <row r="192" spans="1:36" x14ac:dyDescent="0.2">
      <c r="A192" t="s">
        <v>70</v>
      </c>
      <c r="B192" t="s">
        <v>332</v>
      </c>
      <c r="C192" t="s">
        <v>72</v>
      </c>
      <c r="D192" t="s">
        <v>73</v>
      </c>
      <c r="E192" t="s">
        <v>74</v>
      </c>
      <c r="F192" t="s">
        <v>75</v>
      </c>
      <c r="G192" s="1">
        <v>45207</v>
      </c>
      <c r="J192">
        <v>40</v>
      </c>
      <c r="K192" t="s">
        <v>77</v>
      </c>
      <c r="L192" t="s">
        <v>78</v>
      </c>
      <c r="M192">
        <v>98685</v>
      </c>
      <c r="N192">
        <v>1398</v>
      </c>
      <c r="O192">
        <v>1.4200000000000001E-2</v>
      </c>
      <c r="P192">
        <v>371.15</v>
      </c>
      <c r="Q192">
        <v>0.27</v>
      </c>
      <c r="R192">
        <v>0</v>
      </c>
      <c r="S192">
        <v>23</v>
      </c>
      <c r="T192">
        <v>819.69</v>
      </c>
      <c r="U192">
        <v>0.45279999999999998</v>
      </c>
      <c r="V192">
        <v>2.2084999999999999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</row>
    <row r="193" spans="1:36" x14ac:dyDescent="0.2">
      <c r="A193" t="s">
        <v>100</v>
      </c>
      <c r="B193" t="s">
        <v>333</v>
      </c>
      <c r="C193" t="s">
        <v>102</v>
      </c>
      <c r="D193" t="s">
        <v>73</v>
      </c>
      <c r="E193" t="s">
        <v>74</v>
      </c>
      <c r="F193" t="s">
        <v>75</v>
      </c>
      <c r="G193" s="1">
        <v>45207</v>
      </c>
      <c r="J193">
        <v>8</v>
      </c>
      <c r="L193" t="s">
        <v>78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</row>
    <row r="194" spans="1:36" x14ac:dyDescent="0.2">
      <c r="A194" t="s">
        <v>100</v>
      </c>
      <c r="B194" t="s">
        <v>334</v>
      </c>
      <c r="C194" t="s">
        <v>102</v>
      </c>
      <c r="D194" t="s">
        <v>73</v>
      </c>
      <c r="E194" t="s">
        <v>74</v>
      </c>
      <c r="F194" t="s">
        <v>75</v>
      </c>
      <c r="G194" s="1">
        <v>45207</v>
      </c>
      <c r="J194">
        <v>25</v>
      </c>
      <c r="L194" t="s">
        <v>78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</row>
    <row r="195" spans="1:36" x14ac:dyDescent="0.2">
      <c r="A195" t="s">
        <v>100</v>
      </c>
      <c r="B195" t="s">
        <v>335</v>
      </c>
      <c r="C195" t="s">
        <v>102</v>
      </c>
      <c r="D195" t="s">
        <v>73</v>
      </c>
      <c r="E195" t="s">
        <v>74</v>
      </c>
      <c r="F195" t="s">
        <v>75</v>
      </c>
      <c r="G195" s="1">
        <v>45207</v>
      </c>
      <c r="J195">
        <v>8</v>
      </c>
      <c r="L195" t="s">
        <v>78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</row>
    <row r="196" spans="1:36" x14ac:dyDescent="0.2">
      <c r="A196" t="s">
        <v>100</v>
      </c>
      <c r="B196" t="s">
        <v>336</v>
      </c>
      <c r="C196" t="s">
        <v>102</v>
      </c>
      <c r="D196" t="s">
        <v>73</v>
      </c>
      <c r="E196" t="s">
        <v>74</v>
      </c>
      <c r="F196" t="s">
        <v>75</v>
      </c>
      <c r="G196" s="1">
        <v>45207</v>
      </c>
      <c r="J196">
        <v>8</v>
      </c>
      <c r="L196" t="s">
        <v>78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</row>
    <row r="197" spans="1:36" x14ac:dyDescent="0.2">
      <c r="A197" t="s">
        <v>100</v>
      </c>
      <c r="B197" t="s">
        <v>337</v>
      </c>
      <c r="C197" t="s">
        <v>102</v>
      </c>
      <c r="D197" t="s">
        <v>73</v>
      </c>
      <c r="E197" t="s">
        <v>74</v>
      </c>
      <c r="F197" t="s">
        <v>75</v>
      </c>
      <c r="G197" s="1">
        <v>45207</v>
      </c>
      <c r="J197">
        <v>8</v>
      </c>
      <c r="L197" t="s">
        <v>78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</row>
    <row r="198" spans="1:36" x14ac:dyDescent="0.2">
      <c r="A198" t="s">
        <v>100</v>
      </c>
      <c r="B198" t="s">
        <v>338</v>
      </c>
      <c r="C198" t="s">
        <v>102</v>
      </c>
      <c r="D198" t="s">
        <v>73</v>
      </c>
      <c r="E198" t="s">
        <v>74</v>
      </c>
      <c r="F198" t="s">
        <v>75</v>
      </c>
      <c r="G198" s="1">
        <v>45207</v>
      </c>
      <c r="J198">
        <v>8</v>
      </c>
      <c r="L198" t="s">
        <v>78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</row>
    <row r="199" spans="1:36" x14ac:dyDescent="0.2">
      <c r="A199" t="s">
        <v>100</v>
      </c>
      <c r="B199" t="s">
        <v>339</v>
      </c>
      <c r="C199" t="s">
        <v>102</v>
      </c>
      <c r="D199" t="s">
        <v>73</v>
      </c>
      <c r="E199" t="s">
        <v>74</v>
      </c>
      <c r="F199" t="s">
        <v>75</v>
      </c>
      <c r="G199" s="1">
        <v>45207</v>
      </c>
      <c r="J199">
        <v>8</v>
      </c>
      <c r="L199" t="s">
        <v>78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</row>
    <row r="200" spans="1:36" x14ac:dyDescent="0.2">
      <c r="A200" t="s">
        <v>100</v>
      </c>
      <c r="B200" t="s">
        <v>340</v>
      </c>
      <c r="C200" t="s">
        <v>102</v>
      </c>
      <c r="D200" t="s">
        <v>73</v>
      </c>
      <c r="E200" t="s">
        <v>74</v>
      </c>
      <c r="F200" t="s">
        <v>75</v>
      </c>
      <c r="G200" s="1">
        <v>45207</v>
      </c>
      <c r="J200">
        <v>8</v>
      </c>
      <c r="L200" t="s">
        <v>78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</row>
    <row r="201" spans="1:36" x14ac:dyDescent="0.2">
      <c r="A201" t="s">
        <v>100</v>
      </c>
      <c r="B201" t="s">
        <v>341</v>
      </c>
      <c r="C201" t="s">
        <v>102</v>
      </c>
      <c r="D201" t="s">
        <v>73</v>
      </c>
      <c r="E201" t="s">
        <v>74</v>
      </c>
      <c r="F201" t="s">
        <v>75</v>
      </c>
      <c r="G201" s="1">
        <v>45207</v>
      </c>
      <c r="J201">
        <v>8</v>
      </c>
      <c r="L201" t="s">
        <v>78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</row>
    <row r="202" spans="1:36" x14ac:dyDescent="0.2">
      <c r="A202" t="s">
        <v>70</v>
      </c>
      <c r="B202" t="s">
        <v>342</v>
      </c>
      <c r="C202" t="s">
        <v>72</v>
      </c>
      <c r="D202" t="s">
        <v>73</v>
      </c>
      <c r="E202" t="s">
        <v>74</v>
      </c>
      <c r="F202" t="s">
        <v>75</v>
      </c>
      <c r="G202" s="1">
        <v>45207</v>
      </c>
      <c r="J202">
        <v>7.5</v>
      </c>
      <c r="K202" t="s">
        <v>77</v>
      </c>
      <c r="L202" t="s">
        <v>78</v>
      </c>
      <c r="M202">
        <v>13956</v>
      </c>
      <c r="N202">
        <v>120</v>
      </c>
      <c r="O202">
        <v>8.6E-3</v>
      </c>
      <c r="P202">
        <v>29.47</v>
      </c>
      <c r="Q202">
        <v>0.25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</row>
    <row r="203" spans="1:36" x14ac:dyDescent="0.2">
      <c r="A203" t="s">
        <v>100</v>
      </c>
      <c r="B203" t="s">
        <v>343</v>
      </c>
      <c r="C203" t="s">
        <v>102</v>
      </c>
      <c r="D203" t="s">
        <v>73</v>
      </c>
      <c r="E203" t="s">
        <v>74</v>
      </c>
      <c r="F203" t="s">
        <v>75</v>
      </c>
      <c r="G203" s="1">
        <v>45207</v>
      </c>
      <c r="J203">
        <v>8</v>
      </c>
      <c r="L203" t="s">
        <v>78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</row>
    <row r="204" spans="1:36" x14ac:dyDescent="0.2">
      <c r="A204" t="s">
        <v>100</v>
      </c>
      <c r="B204" t="s">
        <v>344</v>
      </c>
      <c r="C204" t="s">
        <v>102</v>
      </c>
      <c r="D204" t="s">
        <v>73</v>
      </c>
      <c r="E204" t="s">
        <v>74</v>
      </c>
      <c r="F204" t="s">
        <v>75</v>
      </c>
      <c r="G204" s="1">
        <v>45207</v>
      </c>
      <c r="J204">
        <v>8</v>
      </c>
      <c r="L204" t="s">
        <v>78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</row>
    <row r="205" spans="1:36" x14ac:dyDescent="0.2">
      <c r="A205" t="s">
        <v>100</v>
      </c>
      <c r="B205" t="s">
        <v>345</v>
      </c>
      <c r="C205" t="s">
        <v>102</v>
      </c>
      <c r="D205" t="s">
        <v>73</v>
      </c>
      <c r="E205" t="s">
        <v>74</v>
      </c>
      <c r="F205" t="s">
        <v>75</v>
      </c>
      <c r="G205" s="1">
        <v>45207</v>
      </c>
      <c r="J205">
        <v>8</v>
      </c>
      <c r="L205" t="s">
        <v>78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</row>
    <row r="206" spans="1:36" x14ac:dyDescent="0.2">
      <c r="A206" t="s">
        <v>100</v>
      </c>
      <c r="B206" t="s">
        <v>346</v>
      </c>
      <c r="C206" t="s">
        <v>102</v>
      </c>
      <c r="D206" t="s">
        <v>73</v>
      </c>
      <c r="E206" t="s">
        <v>74</v>
      </c>
      <c r="F206" t="s">
        <v>75</v>
      </c>
      <c r="G206" s="1">
        <v>45207</v>
      </c>
      <c r="J206">
        <v>8</v>
      </c>
      <c r="L206" t="s">
        <v>78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</row>
    <row r="207" spans="1:36" x14ac:dyDescent="0.2">
      <c r="A207" t="s">
        <v>100</v>
      </c>
      <c r="B207" t="s">
        <v>347</v>
      </c>
      <c r="C207" t="s">
        <v>102</v>
      </c>
      <c r="D207" t="s">
        <v>73</v>
      </c>
      <c r="E207" t="s">
        <v>74</v>
      </c>
      <c r="F207" t="s">
        <v>75</v>
      </c>
      <c r="G207" s="1">
        <v>45207</v>
      </c>
      <c r="J207">
        <v>8</v>
      </c>
      <c r="L207" t="s">
        <v>78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</row>
    <row r="208" spans="1:36" x14ac:dyDescent="0.2">
      <c r="A208" t="s">
        <v>100</v>
      </c>
      <c r="B208" t="s">
        <v>348</v>
      </c>
      <c r="C208" t="s">
        <v>102</v>
      </c>
      <c r="D208" t="s">
        <v>73</v>
      </c>
      <c r="E208" t="s">
        <v>74</v>
      </c>
      <c r="F208" t="s">
        <v>75</v>
      </c>
      <c r="G208" s="1">
        <v>45207</v>
      </c>
      <c r="J208">
        <v>8</v>
      </c>
      <c r="L208" t="s">
        <v>78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</row>
    <row r="209" spans="1:36" x14ac:dyDescent="0.2">
      <c r="A209" t="s">
        <v>100</v>
      </c>
      <c r="B209" t="s">
        <v>349</v>
      </c>
      <c r="C209" t="s">
        <v>102</v>
      </c>
      <c r="D209" t="s">
        <v>73</v>
      </c>
      <c r="E209" t="s">
        <v>74</v>
      </c>
      <c r="F209" t="s">
        <v>75</v>
      </c>
      <c r="G209" s="1">
        <v>45207</v>
      </c>
      <c r="J209">
        <v>8</v>
      </c>
      <c r="L209" t="s">
        <v>78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</row>
    <row r="210" spans="1:36" x14ac:dyDescent="0.2">
      <c r="A210" t="s">
        <v>100</v>
      </c>
      <c r="B210" t="s">
        <v>350</v>
      </c>
      <c r="C210" t="s">
        <v>102</v>
      </c>
      <c r="D210" t="s">
        <v>73</v>
      </c>
      <c r="E210" t="s">
        <v>74</v>
      </c>
      <c r="F210" t="s">
        <v>75</v>
      </c>
      <c r="G210" s="1">
        <v>45207</v>
      </c>
      <c r="J210">
        <v>8</v>
      </c>
      <c r="L210" t="s">
        <v>78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</row>
    <row r="211" spans="1:36" x14ac:dyDescent="0.2">
      <c r="A211" t="s">
        <v>100</v>
      </c>
      <c r="B211" t="s">
        <v>351</v>
      </c>
      <c r="C211" t="s">
        <v>102</v>
      </c>
      <c r="D211" t="s">
        <v>73</v>
      </c>
      <c r="E211" t="s">
        <v>74</v>
      </c>
      <c r="F211" t="s">
        <v>75</v>
      </c>
      <c r="G211" s="1">
        <v>45207</v>
      </c>
      <c r="J211">
        <v>8</v>
      </c>
      <c r="L211" t="s">
        <v>78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</row>
    <row r="212" spans="1:36" x14ac:dyDescent="0.2">
      <c r="A212" t="s">
        <v>100</v>
      </c>
      <c r="B212" t="s">
        <v>352</v>
      </c>
      <c r="C212" t="s">
        <v>102</v>
      </c>
      <c r="D212" t="s">
        <v>73</v>
      </c>
      <c r="E212" t="s">
        <v>74</v>
      </c>
      <c r="F212" t="s">
        <v>75</v>
      </c>
      <c r="G212" s="1">
        <v>45207</v>
      </c>
      <c r="J212">
        <v>8</v>
      </c>
      <c r="L212" t="s">
        <v>78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</row>
    <row r="213" spans="1:36" x14ac:dyDescent="0.2">
      <c r="A213" t="s">
        <v>100</v>
      </c>
      <c r="B213" t="s">
        <v>353</v>
      </c>
      <c r="C213" t="s">
        <v>102</v>
      </c>
      <c r="D213" t="s">
        <v>73</v>
      </c>
      <c r="E213" t="s">
        <v>74</v>
      </c>
      <c r="F213" t="s">
        <v>75</v>
      </c>
      <c r="G213" s="1">
        <v>45207</v>
      </c>
      <c r="J213">
        <v>8</v>
      </c>
      <c r="L213" t="s">
        <v>78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</row>
    <row r="214" spans="1:36" x14ac:dyDescent="0.2">
      <c r="A214" t="s">
        <v>100</v>
      </c>
      <c r="B214" t="s">
        <v>354</v>
      </c>
      <c r="C214" t="s">
        <v>102</v>
      </c>
      <c r="D214" t="s">
        <v>73</v>
      </c>
      <c r="E214" t="s">
        <v>74</v>
      </c>
      <c r="F214" t="s">
        <v>75</v>
      </c>
      <c r="G214" s="1">
        <v>45207</v>
      </c>
      <c r="J214">
        <v>8</v>
      </c>
      <c r="L214" t="s">
        <v>78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</row>
    <row r="215" spans="1:36" x14ac:dyDescent="0.2">
      <c r="A215" t="s">
        <v>100</v>
      </c>
      <c r="B215" t="s">
        <v>355</v>
      </c>
      <c r="C215" t="s">
        <v>102</v>
      </c>
      <c r="D215" t="s">
        <v>73</v>
      </c>
      <c r="E215" t="s">
        <v>74</v>
      </c>
      <c r="F215" t="s">
        <v>75</v>
      </c>
      <c r="G215" s="1">
        <v>45207</v>
      </c>
      <c r="J215">
        <v>8</v>
      </c>
      <c r="L215" t="s">
        <v>78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</row>
    <row r="216" spans="1:36" x14ac:dyDescent="0.2">
      <c r="A216" t="s">
        <v>70</v>
      </c>
      <c r="B216" t="s">
        <v>356</v>
      </c>
      <c r="C216" t="s">
        <v>72</v>
      </c>
      <c r="D216" t="s">
        <v>73</v>
      </c>
      <c r="E216" t="s">
        <v>74</v>
      </c>
      <c r="F216" t="s">
        <v>75</v>
      </c>
      <c r="G216" s="1">
        <v>45207</v>
      </c>
      <c r="J216">
        <v>8</v>
      </c>
      <c r="K216" t="s">
        <v>77</v>
      </c>
      <c r="L216" t="s">
        <v>78</v>
      </c>
      <c r="M216">
        <v>84701</v>
      </c>
      <c r="N216">
        <v>701</v>
      </c>
      <c r="O216">
        <v>8.3000000000000001E-3</v>
      </c>
      <c r="P216">
        <v>181.66</v>
      </c>
      <c r="Q216">
        <v>0.26</v>
      </c>
      <c r="R216">
        <v>0</v>
      </c>
      <c r="S216">
        <v>34</v>
      </c>
      <c r="T216">
        <v>472.55</v>
      </c>
      <c r="U216">
        <v>0.38440000000000002</v>
      </c>
      <c r="V216">
        <v>2.6013000000000002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</row>
    <row r="217" spans="1:36" x14ac:dyDescent="0.2">
      <c r="A217" t="s">
        <v>70</v>
      </c>
      <c r="B217" t="s">
        <v>357</v>
      </c>
      <c r="C217" t="s">
        <v>72</v>
      </c>
      <c r="D217" t="s">
        <v>73</v>
      </c>
      <c r="E217" t="s">
        <v>74</v>
      </c>
      <c r="F217" t="s">
        <v>75</v>
      </c>
      <c r="G217" s="1">
        <v>45207</v>
      </c>
      <c r="J217">
        <v>10</v>
      </c>
      <c r="L217" t="s">
        <v>78</v>
      </c>
      <c r="M217">
        <v>1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</row>
    <row r="218" spans="1:36" x14ac:dyDescent="0.2">
      <c r="A218" t="s">
        <v>100</v>
      </c>
      <c r="B218" t="s">
        <v>358</v>
      </c>
      <c r="C218" t="s">
        <v>102</v>
      </c>
      <c r="D218" t="s">
        <v>73</v>
      </c>
      <c r="E218" t="s">
        <v>74</v>
      </c>
      <c r="F218" t="s">
        <v>75</v>
      </c>
      <c r="G218" s="1">
        <v>45207</v>
      </c>
      <c r="J218">
        <v>8</v>
      </c>
      <c r="L218" t="s">
        <v>78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</row>
    <row r="219" spans="1:36" x14ac:dyDescent="0.2">
      <c r="A219" t="s">
        <v>70</v>
      </c>
      <c r="B219" t="s">
        <v>359</v>
      </c>
      <c r="C219" t="s">
        <v>72</v>
      </c>
      <c r="D219" t="s">
        <v>73</v>
      </c>
      <c r="E219" t="s">
        <v>74</v>
      </c>
      <c r="F219" t="s">
        <v>75</v>
      </c>
      <c r="G219" s="1">
        <v>45207</v>
      </c>
      <c r="J219">
        <v>8</v>
      </c>
      <c r="K219" t="s">
        <v>77</v>
      </c>
      <c r="L219" t="s">
        <v>78</v>
      </c>
      <c r="M219">
        <v>46051</v>
      </c>
      <c r="N219">
        <v>401</v>
      </c>
      <c r="O219">
        <v>8.6999999999999994E-3</v>
      </c>
      <c r="P219">
        <v>114.6</v>
      </c>
      <c r="Q219">
        <v>0.28999999999999998</v>
      </c>
      <c r="R219">
        <v>0</v>
      </c>
      <c r="S219">
        <v>13</v>
      </c>
      <c r="T219">
        <v>327.61</v>
      </c>
      <c r="U219">
        <v>0.3498</v>
      </c>
      <c r="V219">
        <v>2.8586999999999998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</row>
    <row r="220" spans="1:36" x14ac:dyDescent="0.2">
      <c r="A220" t="s">
        <v>100</v>
      </c>
      <c r="B220" t="s">
        <v>360</v>
      </c>
      <c r="C220" t="s">
        <v>102</v>
      </c>
      <c r="D220" t="s">
        <v>73</v>
      </c>
      <c r="E220" t="s">
        <v>74</v>
      </c>
      <c r="F220" t="s">
        <v>75</v>
      </c>
      <c r="G220" s="1">
        <v>45207</v>
      </c>
      <c r="J220">
        <v>8</v>
      </c>
      <c r="L220" t="s">
        <v>78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</row>
    <row r="221" spans="1:36" x14ac:dyDescent="0.2">
      <c r="A221" t="s">
        <v>70</v>
      </c>
      <c r="B221" t="s">
        <v>361</v>
      </c>
      <c r="C221" t="s">
        <v>72</v>
      </c>
      <c r="D221" t="s">
        <v>73</v>
      </c>
      <c r="E221" t="s">
        <v>74</v>
      </c>
      <c r="F221" t="s">
        <v>75</v>
      </c>
      <c r="G221" s="1">
        <v>45207</v>
      </c>
      <c r="J221">
        <v>8</v>
      </c>
      <c r="L221" t="s">
        <v>78</v>
      </c>
      <c r="M221">
        <v>5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</row>
    <row r="222" spans="1:36" x14ac:dyDescent="0.2">
      <c r="A222" t="s">
        <v>100</v>
      </c>
      <c r="B222" t="s">
        <v>362</v>
      </c>
      <c r="C222" t="s">
        <v>102</v>
      </c>
      <c r="D222" t="s">
        <v>73</v>
      </c>
      <c r="E222" t="s">
        <v>74</v>
      </c>
      <c r="F222" t="s">
        <v>75</v>
      </c>
      <c r="G222" s="1">
        <v>45207</v>
      </c>
      <c r="J222">
        <v>8</v>
      </c>
      <c r="L222" t="s">
        <v>78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</row>
    <row r="223" spans="1:36" x14ac:dyDescent="0.2">
      <c r="A223" t="s">
        <v>100</v>
      </c>
      <c r="B223" t="s">
        <v>363</v>
      </c>
      <c r="C223" t="s">
        <v>102</v>
      </c>
      <c r="D223" t="s">
        <v>73</v>
      </c>
      <c r="E223" t="s">
        <v>74</v>
      </c>
      <c r="F223" t="s">
        <v>75</v>
      </c>
      <c r="G223" s="1">
        <v>45207</v>
      </c>
      <c r="J223">
        <v>8</v>
      </c>
      <c r="L223" t="s">
        <v>78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</row>
    <row r="224" spans="1:36" x14ac:dyDescent="0.2">
      <c r="A224" t="s">
        <v>100</v>
      </c>
      <c r="B224" t="s">
        <v>364</v>
      </c>
      <c r="C224" t="s">
        <v>102</v>
      </c>
      <c r="D224" t="s">
        <v>73</v>
      </c>
      <c r="E224" t="s">
        <v>74</v>
      </c>
      <c r="F224" t="s">
        <v>75</v>
      </c>
      <c r="G224" s="1">
        <v>45207</v>
      </c>
      <c r="J224">
        <v>8</v>
      </c>
      <c r="L224" t="s">
        <v>78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</row>
    <row r="225" spans="1:36" x14ac:dyDescent="0.2">
      <c r="A225" t="s">
        <v>100</v>
      </c>
      <c r="B225" t="s">
        <v>365</v>
      </c>
      <c r="C225" t="s">
        <v>102</v>
      </c>
      <c r="D225" t="s">
        <v>73</v>
      </c>
      <c r="E225" t="s">
        <v>74</v>
      </c>
      <c r="F225" t="s">
        <v>75</v>
      </c>
      <c r="G225" s="1">
        <v>45207</v>
      </c>
      <c r="J225">
        <v>8</v>
      </c>
      <c r="L225" t="s">
        <v>78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</row>
    <row r="226" spans="1:36" x14ac:dyDescent="0.2">
      <c r="A226" t="s">
        <v>70</v>
      </c>
      <c r="B226" t="s">
        <v>366</v>
      </c>
      <c r="C226" t="s">
        <v>72</v>
      </c>
      <c r="D226" t="s">
        <v>73</v>
      </c>
      <c r="E226" t="s">
        <v>74</v>
      </c>
      <c r="F226" t="s">
        <v>75</v>
      </c>
      <c r="G226" s="1">
        <v>45207</v>
      </c>
      <c r="J226">
        <v>8</v>
      </c>
      <c r="K226" t="s">
        <v>77</v>
      </c>
      <c r="L226" t="s">
        <v>78</v>
      </c>
      <c r="M226">
        <v>9086</v>
      </c>
      <c r="N226">
        <v>92</v>
      </c>
      <c r="O226">
        <v>1.01E-2</v>
      </c>
      <c r="P226">
        <v>18.899999999999999</v>
      </c>
      <c r="Q226">
        <v>0.21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</row>
    <row r="227" spans="1:36" x14ac:dyDescent="0.2">
      <c r="A227" t="s">
        <v>70</v>
      </c>
      <c r="B227" t="s">
        <v>367</v>
      </c>
      <c r="C227" t="s">
        <v>72</v>
      </c>
      <c r="D227" t="s">
        <v>73</v>
      </c>
      <c r="E227" t="s">
        <v>74</v>
      </c>
      <c r="F227" t="s">
        <v>75</v>
      </c>
      <c r="G227" s="1">
        <v>45207</v>
      </c>
      <c r="J227">
        <v>8</v>
      </c>
      <c r="L227" t="s">
        <v>78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</row>
    <row r="228" spans="1:36" x14ac:dyDescent="0.2">
      <c r="A228" t="s">
        <v>100</v>
      </c>
      <c r="B228" t="s">
        <v>368</v>
      </c>
      <c r="C228" t="s">
        <v>102</v>
      </c>
      <c r="D228" t="s">
        <v>73</v>
      </c>
      <c r="E228" t="s">
        <v>74</v>
      </c>
      <c r="F228" t="s">
        <v>75</v>
      </c>
      <c r="G228" s="1">
        <v>45207</v>
      </c>
      <c r="J228">
        <v>8</v>
      </c>
      <c r="L228" t="s">
        <v>78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</row>
    <row r="229" spans="1:36" x14ac:dyDescent="0.2">
      <c r="A229" t="s">
        <v>70</v>
      </c>
      <c r="B229" t="s">
        <v>369</v>
      </c>
      <c r="C229" t="s">
        <v>72</v>
      </c>
      <c r="D229" t="s">
        <v>73</v>
      </c>
      <c r="E229" t="s">
        <v>74</v>
      </c>
      <c r="F229" t="s">
        <v>75</v>
      </c>
      <c r="G229" s="1">
        <v>45207</v>
      </c>
      <c r="J229">
        <v>15.6</v>
      </c>
      <c r="K229" t="s">
        <v>77</v>
      </c>
      <c r="L229" t="s">
        <v>78</v>
      </c>
      <c r="M229">
        <v>6953</v>
      </c>
      <c r="N229">
        <v>60</v>
      </c>
      <c r="O229">
        <v>8.6E-3</v>
      </c>
      <c r="P229">
        <v>19.87</v>
      </c>
      <c r="Q229">
        <v>0.33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</row>
    <row r="230" spans="1:36" x14ac:dyDescent="0.2">
      <c r="A230" t="s">
        <v>70</v>
      </c>
      <c r="B230" t="s">
        <v>370</v>
      </c>
      <c r="C230" t="s">
        <v>72</v>
      </c>
      <c r="D230" t="s">
        <v>73</v>
      </c>
      <c r="E230" t="s">
        <v>74</v>
      </c>
      <c r="F230" t="s">
        <v>75</v>
      </c>
      <c r="G230" s="1">
        <v>45207</v>
      </c>
      <c r="J230">
        <v>25</v>
      </c>
      <c r="K230" t="s">
        <v>77</v>
      </c>
      <c r="L230" t="s">
        <v>78</v>
      </c>
      <c r="M230">
        <v>22891</v>
      </c>
      <c r="N230">
        <v>184</v>
      </c>
      <c r="O230">
        <v>8.0000000000000002E-3</v>
      </c>
      <c r="P230">
        <v>43.01</v>
      </c>
      <c r="Q230">
        <v>0.23</v>
      </c>
      <c r="R230">
        <v>0</v>
      </c>
      <c r="S230">
        <v>11</v>
      </c>
      <c r="T230">
        <v>142.44999999999999</v>
      </c>
      <c r="U230">
        <v>0.3019</v>
      </c>
      <c r="V230">
        <v>3.3119999999999998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</row>
    <row r="231" spans="1:36" x14ac:dyDescent="0.2">
      <c r="A231" t="s">
        <v>100</v>
      </c>
      <c r="B231" t="s">
        <v>371</v>
      </c>
      <c r="C231" t="s">
        <v>102</v>
      </c>
      <c r="D231" t="s">
        <v>73</v>
      </c>
      <c r="E231" t="s">
        <v>74</v>
      </c>
      <c r="F231" t="s">
        <v>75</v>
      </c>
      <c r="G231" s="1">
        <v>45207</v>
      </c>
      <c r="J231">
        <v>8</v>
      </c>
      <c r="L231" t="s">
        <v>78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</row>
    <row r="232" spans="1:36" x14ac:dyDescent="0.2">
      <c r="A232" t="s">
        <v>70</v>
      </c>
      <c r="B232" t="s">
        <v>372</v>
      </c>
      <c r="C232" t="s">
        <v>72</v>
      </c>
      <c r="D232" t="s">
        <v>73</v>
      </c>
      <c r="E232" t="s">
        <v>74</v>
      </c>
      <c r="F232" t="s">
        <v>75</v>
      </c>
      <c r="G232" s="1">
        <v>45207</v>
      </c>
      <c r="J232">
        <v>15</v>
      </c>
      <c r="K232" t="s">
        <v>77</v>
      </c>
      <c r="L232" t="s">
        <v>78</v>
      </c>
      <c r="M232">
        <v>29146</v>
      </c>
      <c r="N232">
        <v>411</v>
      </c>
      <c r="O232">
        <v>1.41E-2</v>
      </c>
      <c r="P232">
        <v>73.61</v>
      </c>
      <c r="Q232">
        <v>0.18</v>
      </c>
      <c r="R232">
        <v>0</v>
      </c>
      <c r="S232">
        <v>9</v>
      </c>
      <c r="T232">
        <v>348.99</v>
      </c>
      <c r="U232">
        <v>0.2109</v>
      </c>
      <c r="V232">
        <v>4.7411000000000003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</row>
    <row r="233" spans="1:36" x14ac:dyDescent="0.2">
      <c r="A233" t="s">
        <v>100</v>
      </c>
      <c r="B233" t="s">
        <v>373</v>
      </c>
      <c r="C233" t="s">
        <v>102</v>
      </c>
      <c r="D233" t="s">
        <v>73</v>
      </c>
      <c r="E233" t="s">
        <v>74</v>
      </c>
      <c r="F233" t="s">
        <v>75</v>
      </c>
      <c r="G233" s="1">
        <v>45207</v>
      </c>
      <c r="J233">
        <v>8</v>
      </c>
      <c r="L233" t="s">
        <v>78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</row>
    <row r="234" spans="1:36" x14ac:dyDescent="0.2">
      <c r="A234" t="s">
        <v>70</v>
      </c>
      <c r="B234" t="s">
        <v>374</v>
      </c>
      <c r="C234" t="s">
        <v>72</v>
      </c>
      <c r="D234" t="s">
        <v>73</v>
      </c>
      <c r="E234" t="s">
        <v>74</v>
      </c>
      <c r="F234" t="s">
        <v>75</v>
      </c>
      <c r="G234" s="1">
        <v>45207</v>
      </c>
      <c r="J234">
        <v>4.8</v>
      </c>
      <c r="K234" t="s">
        <v>77</v>
      </c>
      <c r="L234" t="s">
        <v>78</v>
      </c>
      <c r="M234">
        <v>11507</v>
      </c>
      <c r="N234">
        <v>24</v>
      </c>
      <c r="O234">
        <v>2.0999999999999999E-3</v>
      </c>
      <c r="P234">
        <v>11.73</v>
      </c>
      <c r="Q234">
        <v>0.49</v>
      </c>
      <c r="R234">
        <v>0</v>
      </c>
      <c r="S234">
        <v>1</v>
      </c>
      <c r="T234">
        <v>19.48</v>
      </c>
      <c r="U234">
        <v>0.60219999999999996</v>
      </c>
      <c r="V234">
        <v>1.6607000000000001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</row>
    <row r="235" spans="1:36" x14ac:dyDescent="0.2">
      <c r="A235" t="s">
        <v>100</v>
      </c>
      <c r="B235" t="s">
        <v>375</v>
      </c>
      <c r="C235" t="s">
        <v>102</v>
      </c>
      <c r="D235" t="s">
        <v>73</v>
      </c>
      <c r="E235" t="s">
        <v>74</v>
      </c>
      <c r="F235" t="s">
        <v>75</v>
      </c>
      <c r="G235" s="1">
        <v>45207</v>
      </c>
      <c r="J235">
        <v>8</v>
      </c>
      <c r="L235" t="s">
        <v>78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</row>
    <row r="236" spans="1:36" x14ac:dyDescent="0.2">
      <c r="A236" t="s">
        <v>100</v>
      </c>
      <c r="B236" t="s">
        <v>376</v>
      </c>
      <c r="C236" t="s">
        <v>102</v>
      </c>
      <c r="D236" t="s">
        <v>73</v>
      </c>
      <c r="E236" t="s">
        <v>74</v>
      </c>
      <c r="F236" t="s">
        <v>75</v>
      </c>
      <c r="G236" s="1">
        <v>45207</v>
      </c>
      <c r="J236">
        <v>8</v>
      </c>
      <c r="L236" t="s">
        <v>78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</row>
    <row r="237" spans="1:36" x14ac:dyDescent="0.2">
      <c r="A237" t="s">
        <v>100</v>
      </c>
      <c r="B237" t="s">
        <v>377</v>
      </c>
      <c r="C237" t="s">
        <v>102</v>
      </c>
      <c r="D237" t="s">
        <v>73</v>
      </c>
      <c r="E237" t="s">
        <v>74</v>
      </c>
      <c r="F237" t="s">
        <v>75</v>
      </c>
      <c r="G237" s="1">
        <v>45207</v>
      </c>
      <c r="J237">
        <v>8</v>
      </c>
      <c r="L237" t="s">
        <v>78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</row>
    <row r="238" spans="1:36" x14ac:dyDescent="0.2">
      <c r="A238" t="s">
        <v>100</v>
      </c>
      <c r="B238" t="s">
        <v>378</v>
      </c>
      <c r="C238" t="s">
        <v>102</v>
      </c>
      <c r="D238" t="s">
        <v>73</v>
      </c>
      <c r="E238" t="s">
        <v>74</v>
      </c>
      <c r="F238" t="s">
        <v>75</v>
      </c>
      <c r="G238" s="1">
        <v>45207</v>
      </c>
      <c r="J238">
        <v>8</v>
      </c>
      <c r="L238" t="s">
        <v>78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</row>
    <row r="239" spans="1:36" x14ac:dyDescent="0.2">
      <c r="A239" t="s">
        <v>70</v>
      </c>
      <c r="B239" t="s">
        <v>379</v>
      </c>
      <c r="C239" t="s">
        <v>72</v>
      </c>
      <c r="D239" t="s">
        <v>73</v>
      </c>
      <c r="E239" t="s">
        <v>74</v>
      </c>
      <c r="F239" t="s">
        <v>75</v>
      </c>
      <c r="G239" s="1">
        <v>45207</v>
      </c>
      <c r="J239">
        <v>9</v>
      </c>
      <c r="K239" t="s">
        <v>77</v>
      </c>
      <c r="L239" t="s">
        <v>78</v>
      </c>
      <c r="M239">
        <v>50053</v>
      </c>
      <c r="N239">
        <v>67</v>
      </c>
      <c r="O239">
        <v>1.2999999999999999E-3</v>
      </c>
      <c r="P239">
        <v>29.62</v>
      </c>
      <c r="Q239">
        <v>0.44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</row>
    <row r="240" spans="1:36" x14ac:dyDescent="0.2">
      <c r="A240" t="s">
        <v>70</v>
      </c>
      <c r="B240" t="s">
        <v>380</v>
      </c>
      <c r="C240" t="s">
        <v>72</v>
      </c>
      <c r="D240" t="s">
        <v>73</v>
      </c>
      <c r="E240" t="s">
        <v>74</v>
      </c>
      <c r="F240" t="s">
        <v>75</v>
      </c>
      <c r="G240" s="1">
        <v>45207</v>
      </c>
      <c r="J240">
        <v>32</v>
      </c>
      <c r="L240" t="s">
        <v>78</v>
      </c>
      <c r="M240">
        <v>5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</row>
    <row r="241" spans="1:36" x14ac:dyDescent="0.2">
      <c r="A241" t="s">
        <v>100</v>
      </c>
      <c r="B241" t="s">
        <v>381</v>
      </c>
      <c r="C241" t="s">
        <v>102</v>
      </c>
      <c r="D241" t="s">
        <v>73</v>
      </c>
      <c r="E241" t="s">
        <v>74</v>
      </c>
      <c r="F241" t="s">
        <v>75</v>
      </c>
      <c r="G241" s="1">
        <v>45207</v>
      </c>
      <c r="J241">
        <v>8</v>
      </c>
      <c r="L241" t="s">
        <v>78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</row>
    <row r="242" spans="1:36" x14ac:dyDescent="0.2">
      <c r="A242" t="s">
        <v>70</v>
      </c>
      <c r="B242" t="s">
        <v>382</v>
      </c>
      <c r="C242" t="s">
        <v>72</v>
      </c>
      <c r="D242" t="s">
        <v>73</v>
      </c>
      <c r="E242" t="s">
        <v>74</v>
      </c>
      <c r="F242" t="s">
        <v>75</v>
      </c>
      <c r="G242" s="1">
        <v>45207</v>
      </c>
      <c r="J242">
        <v>9</v>
      </c>
      <c r="K242" t="s">
        <v>77</v>
      </c>
      <c r="L242" t="s">
        <v>78</v>
      </c>
      <c r="M242">
        <v>33480</v>
      </c>
      <c r="N242">
        <v>228</v>
      </c>
      <c r="O242">
        <v>6.7999999999999996E-3</v>
      </c>
      <c r="P242">
        <v>60.93</v>
      </c>
      <c r="Q242">
        <v>0.27</v>
      </c>
      <c r="R242">
        <v>0</v>
      </c>
      <c r="S242">
        <v>4</v>
      </c>
      <c r="T242">
        <v>703.26</v>
      </c>
      <c r="U242">
        <v>8.6599999999999996E-2</v>
      </c>
      <c r="V242">
        <v>11.5421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</row>
    <row r="243" spans="1:36" x14ac:dyDescent="0.2">
      <c r="A243" t="s">
        <v>70</v>
      </c>
      <c r="B243" t="s">
        <v>383</v>
      </c>
      <c r="C243" t="s">
        <v>72</v>
      </c>
      <c r="D243" t="s">
        <v>73</v>
      </c>
      <c r="E243" t="s">
        <v>74</v>
      </c>
      <c r="F243" t="s">
        <v>75</v>
      </c>
      <c r="G243" s="1">
        <v>45207</v>
      </c>
      <c r="J243">
        <v>22</v>
      </c>
      <c r="K243" t="s">
        <v>77</v>
      </c>
      <c r="L243" t="s">
        <v>78</v>
      </c>
      <c r="M243">
        <v>18508</v>
      </c>
      <c r="N243">
        <v>153</v>
      </c>
      <c r="O243">
        <v>8.3000000000000001E-3</v>
      </c>
      <c r="P243">
        <v>54.24</v>
      </c>
      <c r="Q243">
        <v>0.35</v>
      </c>
      <c r="R243">
        <v>0</v>
      </c>
      <c r="S243">
        <v>5</v>
      </c>
      <c r="T243">
        <v>234.91</v>
      </c>
      <c r="U243">
        <v>0.23089999999999999</v>
      </c>
      <c r="V243">
        <v>4.3308999999999997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</row>
    <row r="244" spans="1:36" x14ac:dyDescent="0.2">
      <c r="A244" t="s">
        <v>70</v>
      </c>
      <c r="B244" t="s">
        <v>384</v>
      </c>
      <c r="C244" t="s">
        <v>72</v>
      </c>
      <c r="D244" t="s">
        <v>73</v>
      </c>
      <c r="E244" t="s">
        <v>74</v>
      </c>
      <c r="F244" t="s">
        <v>75</v>
      </c>
      <c r="G244" s="1">
        <v>45207</v>
      </c>
      <c r="J244">
        <v>15</v>
      </c>
      <c r="K244" t="s">
        <v>77</v>
      </c>
      <c r="L244" t="s">
        <v>78</v>
      </c>
      <c r="M244">
        <v>18713</v>
      </c>
      <c r="N244">
        <v>157</v>
      </c>
      <c r="O244">
        <v>8.3999999999999995E-3</v>
      </c>
      <c r="P244">
        <v>89.47</v>
      </c>
      <c r="Q244">
        <v>0.56999999999999995</v>
      </c>
      <c r="R244">
        <v>0</v>
      </c>
      <c r="S244">
        <v>7</v>
      </c>
      <c r="T244">
        <v>801.91</v>
      </c>
      <c r="U244">
        <v>0.1116</v>
      </c>
      <c r="V244">
        <v>8.9628999999999994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</row>
    <row r="245" spans="1:36" x14ac:dyDescent="0.2">
      <c r="A245" t="s">
        <v>100</v>
      </c>
      <c r="B245" t="s">
        <v>385</v>
      </c>
      <c r="C245" t="s">
        <v>102</v>
      </c>
      <c r="D245" t="s">
        <v>73</v>
      </c>
      <c r="E245" t="s">
        <v>74</v>
      </c>
      <c r="F245" t="s">
        <v>75</v>
      </c>
      <c r="G245" s="1">
        <v>45207</v>
      </c>
      <c r="J245">
        <v>8</v>
      </c>
      <c r="L245" t="s">
        <v>78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</row>
    <row r="246" spans="1:36" x14ac:dyDescent="0.2">
      <c r="A246" t="s">
        <v>100</v>
      </c>
      <c r="B246" t="s">
        <v>386</v>
      </c>
      <c r="C246" t="s">
        <v>102</v>
      </c>
      <c r="D246" t="s">
        <v>73</v>
      </c>
      <c r="E246" t="s">
        <v>74</v>
      </c>
      <c r="F246" t="s">
        <v>75</v>
      </c>
      <c r="G246" s="1">
        <v>45207</v>
      </c>
      <c r="J246">
        <v>8</v>
      </c>
      <c r="L246" t="s">
        <v>78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</row>
    <row r="247" spans="1:36" x14ac:dyDescent="0.2">
      <c r="A247" t="s">
        <v>70</v>
      </c>
      <c r="B247" t="s">
        <v>387</v>
      </c>
      <c r="C247" t="s">
        <v>72</v>
      </c>
      <c r="D247" t="s">
        <v>73</v>
      </c>
      <c r="E247" t="s">
        <v>74</v>
      </c>
      <c r="F247" t="s">
        <v>75</v>
      </c>
      <c r="G247" s="1">
        <v>45207</v>
      </c>
      <c r="J247">
        <v>9</v>
      </c>
      <c r="L247" t="s">
        <v>78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</row>
    <row r="248" spans="1:36" x14ac:dyDescent="0.2">
      <c r="A248" t="s">
        <v>70</v>
      </c>
      <c r="B248" t="s">
        <v>388</v>
      </c>
      <c r="C248" t="s">
        <v>72</v>
      </c>
      <c r="D248" t="s">
        <v>73</v>
      </c>
      <c r="E248" t="s">
        <v>74</v>
      </c>
      <c r="F248" t="s">
        <v>75</v>
      </c>
      <c r="G248" s="1">
        <v>45207</v>
      </c>
      <c r="J248">
        <v>32</v>
      </c>
      <c r="K248" t="s">
        <v>77</v>
      </c>
      <c r="L248" t="s">
        <v>78</v>
      </c>
      <c r="M248">
        <v>10979</v>
      </c>
      <c r="N248">
        <v>40</v>
      </c>
      <c r="O248">
        <v>3.5999999999999999E-3</v>
      </c>
      <c r="P248">
        <v>16.43</v>
      </c>
      <c r="Q248">
        <v>0.41</v>
      </c>
      <c r="R248">
        <v>0</v>
      </c>
      <c r="S248">
        <v>1</v>
      </c>
      <c r="T248">
        <v>11.95</v>
      </c>
      <c r="U248">
        <v>1.3749</v>
      </c>
      <c r="V248">
        <v>0.72729999999999995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</row>
    <row r="249" spans="1:36" x14ac:dyDescent="0.2">
      <c r="A249" t="s">
        <v>100</v>
      </c>
      <c r="B249" t="s">
        <v>389</v>
      </c>
      <c r="C249" t="s">
        <v>102</v>
      </c>
      <c r="D249" t="s">
        <v>73</v>
      </c>
      <c r="E249" t="s">
        <v>74</v>
      </c>
      <c r="F249" t="s">
        <v>75</v>
      </c>
      <c r="G249" s="1">
        <v>45207</v>
      </c>
      <c r="J249">
        <v>8</v>
      </c>
      <c r="L249" t="s">
        <v>78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</row>
    <row r="250" spans="1:36" x14ac:dyDescent="0.2">
      <c r="A250" t="s">
        <v>70</v>
      </c>
      <c r="B250" t="s">
        <v>390</v>
      </c>
      <c r="C250" t="s">
        <v>72</v>
      </c>
      <c r="D250" t="s">
        <v>73</v>
      </c>
      <c r="E250" t="s">
        <v>74</v>
      </c>
      <c r="F250" t="s">
        <v>75</v>
      </c>
      <c r="G250" s="1">
        <v>45207</v>
      </c>
      <c r="J250">
        <v>8</v>
      </c>
      <c r="K250" t="s">
        <v>77</v>
      </c>
      <c r="L250" t="s">
        <v>78</v>
      </c>
      <c r="M250">
        <v>9177</v>
      </c>
      <c r="N250">
        <v>109</v>
      </c>
      <c r="O250">
        <v>1.1900000000000001E-2</v>
      </c>
      <c r="P250">
        <v>28.22</v>
      </c>
      <c r="Q250">
        <v>0.26</v>
      </c>
      <c r="R250">
        <v>0</v>
      </c>
      <c r="S250">
        <v>1</v>
      </c>
      <c r="T250">
        <v>163.9</v>
      </c>
      <c r="U250">
        <v>0.17219999999999999</v>
      </c>
      <c r="V250">
        <v>5.8079000000000001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</row>
    <row r="251" spans="1:36" x14ac:dyDescent="0.2">
      <c r="A251" t="s">
        <v>70</v>
      </c>
      <c r="B251" t="s">
        <v>391</v>
      </c>
      <c r="C251" t="s">
        <v>72</v>
      </c>
      <c r="D251" t="s">
        <v>73</v>
      </c>
      <c r="E251" t="s">
        <v>74</v>
      </c>
      <c r="F251" t="s">
        <v>75</v>
      </c>
      <c r="G251" s="1">
        <v>45207</v>
      </c>
      <c r="J251">
        <v>10</v>
      </c>
      <c r="L251" t="s">
        <v>78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</row>
    <row r="252" spans="1:36" x14ac:dyDescent="0.2">
      <c r="A252" t="s">
        <v>70</v>
      </c>
      <c r="B252" t="s">
        <v>392</v>
      </c>
      <c r="C252" t="s">
        <v>72</v>
      </c>
      <c r="D252" t="s">
        <v>73</v>
      </c>
      <c r="E252" t="s">
        <v>74</v>
      </c>
      <c r="F252" t="s">
        <v>75</v>
      </c>
      <c r="G252" s="1">
        <v>45207</v>
      </c>
      <c r="J252">
        <v>8</v>
      </c>
      <c r="K252" t="s">
        <v>77</v>
      </c>
      <c r="L252" t="s">
        <v>78</v>
      </c>
      <c r="M252">
        <v>61059</v>
      </c>
      <c r="N252">
        <v>115</v>
      </c>
      <c r="O252">
        <v>1.9E-3</v>
      </c>
      <c r="P252">
        <v>54.75</v>
      </c>
      <c r="Q252">
        <v>0.48</v>
      </c>
      <c r="R252">
        <v>0</v>
      </c>
      <c r="S252">
        <v>9</v>
      </c>
      <c r="T252">
        <v>181.45</v>
      </c>
      <c r="U252">
        <v>0.30170000000000002</v>
      </c>
      <c r="V252">
        <v>3.3142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</row>
    <row r="253" spans="1:36" x14ac:dyDescent="0.2">
      <c r="A253" t="s">
        <v>100</v>
      </c>
      <c r="B253" t="s">
        <v>393</v>
      </c>
      <c r="C253" t="s">
        <v>102</v>
      </c>
      <c r="D253" t="s">
        <v>73</v>
      </c>
      <c r="E253" t="s">
        <v>74</v>
      </c>
      <c r="F253" t="s">
        <v>75</v>
      </c>
      <c r="G253" s="1">
        <v>45207</v>
      </c>
      <c r="J253">
        <v>8</v>
      </c>
      <c r="L253" t="s">
        <v>78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</row>
    <row r="254" spans="1:36" x14ac:dyDescent="0.2">
      <c r="A254" t="s">
        <v>100</v>
      </c>
      <c r="B254" t="s">
        <v>394</v>
      </c>
      <c r="C254" t="s">
        <v>102</v>
      </c>
      <c r="D254" t="s">
        <v>73</v>
      </c>
      <c r="E254" t="s">
        <v>74</v>
      </c>
      <c r="F254" t="s">
        <v>75</v>
      </c>
      <c r="G254" s="1">
        <v>45207</v>
      </c>
      <c r="J254">
        <v>8</v>
      </c>
      <c r="L254" t="s">
        <v>78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</row>
    <row r="255" spans="1:36" x14ac:dyDescent="0.2">
      <c r="A255" t="s">
        <v>100</v>
      </c>
      <c r="B255" t="s">
        <v>395</v>
      </c>
      <c r="C255" t="s">
        <v>102</v>
      </c>
      <c r="D255" t="s">
        <v>73</v>
      </c>
      <c r="E255" t="s">
        <v>74</v>
      </c>
      <c r="F255" t="s">
        <v>75</v>
      </c>
      <c r="G255" s="1">
        <v>45207</v>
      </c>
      <c r="J255">
        <v>38</v>
      </c>
      <c r="L255" t="s">
        <v>78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</row>
    <row r="256" spans="1:36" x14ac:dyDescent="0.2">
      <c r="A256" t="s">
        <v>100</v>
      </c>
      <c r="B256" t="s">
        <v>396</v>
      </c>
      <c r="C256" t="s">
        <v>102</v>
      </c>
      <c r="D256" t="s">
        <v>73</v>
      </c>
      <c r="E256" t="s">
        <v>74</v>
      </c>
      <c r="F256" t="s">
        <v>75</v>
      </c>
      <c r="G256" s="1">
        <v>45207</v>
      </c>
      <c r="J256">
        <v>15</v>
      </c>
      <c r="L256" t="s">
        <v>78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</row>
    <row r="257" spans="1:36" x14ac:dyDescent="0.2">
      <c r="A257" t="s">
        <v>70</v>
      </c>
      <c r="B257" t="s">
        <v>397</v>
      </c>
      <c r="C257" t="s">
        <v>72</v>
      </c>
      <c r="D257" t="s">
        <v>73</v>
      </c>
      <c r="E257" t="s">
        <v>74</v>
      </c>
      <c r="F257" t="s">
        <v>75</v>
      </c>
      <c r="G257" s="1">
        <v>45207</v>
      </c>
      <c r="J257">
        <v>30</v>
      </c>
      <c r="K257" t="s">
        <v>77</v>
      </c>
      <c r="L257" t="s">
        <v>78</v>
      </c>
      <c r="M257">
        <v>6085</v>
      </c>
      <c r="N257">
        <v>54</v>
      </c>
      <c r="O257">
        <v>8.8999999999999999E-3</v>
      </c>
      <c r="P257">
        <v>18.059999999999999</v>
      </c>
      <c r="Q257">
        <v>0.33</v>
      </c>
      <c r="R257">
        <v>0</v>
      </c>
      <c r="S257">
        <v>4</v>
      </c>
      <c r="T257">
        <v>224.9</v>
      </c>
      <c r="U257">
        <v>8.0299999999999996E-2</v>
      </c>
      <c r="V257">
        <v>12.4529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</row>
    <row r="258" spans="1:36" x14ac:dyDescent="0.2">
      <c r="A258" t="s">
        <v>100</v>
      </c>
      <c r="B258" t="s">
        <v>398</v>
      </c>
      <c r="C258" t="s">
        <v>102</v>
      </c>
      <c r="D258" t="s">
        <v>73</v>
      </c>
      <c r="E258" t="s">
        <v>74</v>
      </c>
      <c r="F258" t="s">
        <v>75</v>
      </c>
      <c r="G258" s="1">
        <v>45207</v>
      </c>
      <c r="J258">
        <v>8</v>
      </c>
      <c r="L258" t="s">
        <v>78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</row>
    <row r="259" spans="1:36" x14ac:dyDescent="0.2">
      <c r="A259" t="s">
        <v>100</v>
      </c>
      <c r="B259" t="s">
        <v>399</v>
      </c>
      <c r="C259" t="s">
        <v>102</v>
      </c>
      <c r="D259" t="s">
        <v>73</v>
      </c>
      <c r="E259" t="s">
        <v>74</v>
      </c>
      <c r="F259" t="s">
        <v>75</v>
      </c>
      <c r="G259" s="1">
        <v>45207</v>
      </c>
      <c r="J259">
        <v>8</v>
      </c>
      <c r="L259" t="s">
        <v>78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</row>
    <row r="260" spans="1:36" x14ac:dyDescent="0.2">
      <c r="A260" t="s">
        <v>100</v>
      </c>
      <c r="B260" t="s">
        <v>400</v>
      </c>
      <c r="C260" t="s">
        <v>102</v>
      </c>
      <c r="D260" t="s">
        <v>73</v>
      </c>
      <c r="E260" t="s">
        <v>74</v>
      </c>
      <c r="F260" t="s">
        <v>75</v>
      </c>
      <c r="G260" s="1">
        <v>45207</v>
      </c>
      <c r="J260">
        <v>8</v>
      </c>
      <c r="L260" t="s">
        <v>78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</row>
    <row r="261" spans="1:36" x14ac:dyDescent="0.2">
      <c r="A261" t="s">
        <v>70</v>
      </c>
      <c r="B261" t="s">
        <v>401</v>
      </c>
      <c r="C261" t="s">
        <v>72</v>
      </c>
      <c r="D261" t="s">
        <v>73</v>
      </c>
      <c r="E261" t="s">
        <v>74</v>
      </c>
      <c r="F261" t="s">
        <v>75</v>
      </c>
      <c r="G261" s="1">
        <v>45207</v>
      </c>
      <c r="J261">
        <v>15</v>
      </c>
      <c r="K261" t="s">
        <v>77</v>
      </c>
      <c r="L261" t="s">
        <v>78</v>
      </c>
      <c r="M261">
        <v>50638</v>
      </c>
      <c r="N261">
        <v>80</v>
      </c>
      <c r="O261">
        <v>1.6000000000000001E-3</v>
      </c>
      <c r="P261">
        <v>38.200000000000003</v>
      </c>
      <c r="Q261">
        <v>0.48</v>
      </c>
      <c r="R261">
        <v>0</v>
      </c>
      <c r="S261">
        <v>1</v>
      </c>
      <c r="T261">
        <v>31.95</v>
      </c>
      <c r="U261">
        <v>1.1956</v>
      </c>
      <c r="V261">
        <v>0.83640000000000003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</row>
    <row r="262" spans="1:36" x14ac:dyDescent="0.2">
      <c r="A262" t="s">
        <v>70</v>
      </c>
      <c r="B262" t="s">
        <v>402</v>
      </c>
      <c r="C262" t="s">
        <v>72</v>
      </c>
      <c r="D262" t="s">
        <v>73</v>
      </c>
      <c r="E262" t="s">
        <v>74</v>
      </c>
      <c r="F262" t="s">
        <v>75</v>
      </c>
      <c r="G262" s="1">
        <v>45207</v>
      </c>
      <c r="J262">
        <v>15.75</v>
      </c>
      <c r="K262" t="s">
        <v>77</v>
      </c>
      <c r="L262" t="s">
        <v>78</v>
      </c>
      <c r="M262">
        <v>21883</v>
      </c>
      <c r="N262">
        <v>214</v>
      </c>
      <c r="O262">
        <v>9.7999999999999997E-3</v>
      </c>
      <c r="P262">
        <v>48.5</v>
      </c>
      <c r="Q262">
        <v>0.23</v>
      </c>
      <c r="R262">
        <v>0</v>
      </c>
      <c r="S262">
        <v>4</v>
      </c>
      <c r="T262">
        <v>86.32</v>
      </c>
      <c r="U262">
        <v>0.56189999999999996</v>
      </c>
      <c r="V262">
        <v>1.7798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</row>
    <row r="263" spans="1:36" x14ac:dyDescent="0.2">
      <c r="A263" t="s">
        <v>70</v>
      </c>
      <c r="B263" t="s">
        <v>403</v>
      </c>
      <c r="C263" t="s">
        <v>72</v>
      </c>
      <c r="D263" t="s">
        <v>73</v>
      </c>
      <c r="E263" t="s">
        <v>74</v>
      </c>
      <c r="F263" t="s">
        <v>75</v>
      </c>
      <c r="G263" s="1">
        <v>45207</v>
      </c>
      <c r="J263">
        <v>15</v>
      </c>
      <c r="K263" t="s">
        <v>77</v>
      </c>
      <c r="L263" t="s">
        <v>78</v>
      </c>
      <c r="M263">
        <v>26182</v>
      </c>
      <c r="N263">
        <v>199</v>
      </c>
      <c r="O263">
        <v>7.6E-3</v>
      </c>
      <c r="P263">
        <v>55.14</v>
      </c>
      <c r="Q263">
        <v>0.28000000000000003</v>
      </c>
      <c r="R263">
        <v>0</v>
      </c>
      <c r="S263">
        <v>7</v>
      </c>
      <c r="T263">
        <v>134.44</v>
      </c>
      <c r="U263">
        <v>0.41010000000000002</v>
      </c>
      <c r="V263">
        <v>2.4382000000000001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</row>
    <row r="264" spans="1:36" x14ac:dyDescent="0.2">
      <c r="A264" t="s">
        <v>70</v>
      </c>
      <c r="B264" t="s">
        <v>404</v>
      </c>
      <c r="C264" t="s">
        <v>72</v>
      </c>
      <c r="D264" t="s">
        <v>73</v>
      </c>
      <c r="E264" t="s">
        <v>74</v>
      </c>
      <c r="F264" t="s">
        <v>75</v>
      </c>
      <c r="G264" s="1">
        <v>45207</v>
      </c>
      <c r="J264">
        <v>8</v>
      </c>
      <c r="K264" t="s">
        <v>77</v>
      </c>
      <c r="L264" t="s">
        <v>78</v>
      </c>
      <c r="M264">
        <v>44042</v>
      </c>
      <c r="N264">
        <v>794</v>
      </c>
      <c r="O264">
        <v>1.7999999999999999E-2</v>
      </c>
      <c r="P264">
        <v>127.21</v>
      </c>
      <c r="Q264">
        <v>0.16</v>
      </c>
      <c r="R264">
        <v>0</v>
      </c>
      <c r="S264">
        <v>7</v>
      </c>
      <c r="T264">
        <v>311.64999999999998</v>
      </c>
      <c r="U264">
        <v>0.40820000000000001</v>
      </c>
      <c r="V264">
        <v>2.4499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</row>
    <row r="265" spans="1:36" x14ac:dyDescent="0.2">
      <c r="A265" t="s">
        <v>70</v>
      </c>
      <c r="B265" t="s">
        <v>405</v>
      </c>
      <c r="C265" t="s">
        <v>72</v>
      </c>
      <c r="D265" t="s">
        <v>73</v>
      </c>
      <c r="E265" t="s">
        <v>74</v>
      </c>
      <c r="F265" t="s">
        <v>75</v>
      </c>
      <c r="G265" s="1">
        <v>45207</v>
      </c>
      <c r="J265">
        <v>15</v>
      </c>
      <c r="K265" t="s">
        <v>77</v>
      </c>
      <c r="L265" t="s">
        <v>78</v>
      </c>
      <c r="M265">
        <v>10353</v>
      </c>
      <c r="N265">
        <v>120</v>
      </c>
      <c r="O265">
        <v>1.1599999999999999E-2</v>
      </c>
      <c r="P265">
        <v>27.8</v>
      </c>
      <c r="Q265">
        <v>0.23</v>
      </c>
      <c r="R265">
        <v>0</v>
      </c>
      <c r="S265">
        <v>1</v>
      </c>
      <c r="T265">
        <v>21.95</v>
      </c>
      <c r="U265">
        <v>1.2665</v>
      </c>
      <c r="V265">
        <v>0.78959999999999997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</row>
    <row r="266" spans="1:36" x14ac:dyDescent="0.2">
      <c r="A266" t="s">
        <v>100</v>
      </c>
      <c r="B266" t="s">
        <v>406</v>
      </c>
      <c r="C266" t="s">
        <v>102</v>
      </c>
      <c r="D266" t="s">
        <v>73</v>
      </c>
      <c r="E266" t="s">
        <v>74</v>
      </c>
      <c r="F266" t="s">
        <v>75</v>
      </c>
      <c r="G266" s="1">
        <v>45207</v>
      </c>
      <c r="J266">
        <v>8</v>
      </c>
      <c r="L266" t="s">
        <v>78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</row>
    <row r="267" spans="1:36" x14ac:dyDescent="0.2">
      <c r="A267" t="s">
        <v>100</v>
      </c>
      <c r="B267" t="s">
        <v>407</v>
      </c>
      <c r="C267" t="s">
        <v>102</v>
      </c>
      <c r="D267" t="s">
        <v>73</v>
      </c>
      <c r="E267" t="s">
        <v>74</v>
      </c>
      <c r="F267" t="s">
        <v>75</v>
      </c>
      <c r="G267" s="1">
        <v>45207</v>
      </c>
      <c r="J267">
        <v>8</v>
      </c>
      <c r="L267" t="s">
        <v>78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</row>
    <row r="268" spans="1:36" x14ac:dyDescent="0.2">
      <c r="A268" t="s">
        <v>100</v>
      </c>
      <c r="B268" t="s">
        <v>408</v>
      </c>
      <c r="C268" t="s">
        <v>102</v>
      </c>
      <c r="D268" t="s">
        <v>73</v>
      </c>
      <c r="E268" t="s">
        <v>74</v>
      </c>
      <c r="F268" t="s">
        <v>75</v>
      </c>
      <c r="G268" s="1">
        <v>45207</v>
      </c>
      <c r="J268">
        <v>8</v>
      </c>
      <c r="L268" t="s">
        <v>78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</row>
    <row r="269" spans="1:36" x14ac:dyDescent="0.2">
      <c r="A269" t="s">
        <v>70</v>
      </c>
      <c r="B269" t="s">
        <v>409</v>
      </c>
      <c r="C269" t="s">
        <v>72</v>
      </c>
      <c r="D269" t="s">
        <v>73</v>
      </c>
      <c r="E269" t="s">
        <v>74</v>
      </c>
      <c r="F269" t="s">
        <v>75</v>
      </c>
      <c r="G269" s="1">
        <v>45207</v>
      </c>
      <c r="J269">
        <v>9</v>
      </c>
      <c r="K269" t="s">
        <v>77</v>
      </c>
      <c r="L269" t="s">
        <v>78</v>
      </c>
      <c r="M269">
        <v>10389</v>
      </c>
      <c r="N269">
        <v>93</v>
      </c>
      <c r="O269">
        <v>8.9999999999999993E-3</v>
      </c>
      <c r="P269">
        <v>27.23</v>
      </c>
      <c r="Q269">
        <v>0.28999999999999998</v>
      </c>
      <c r="R269">
        <v>0</v>
      </c>
      <c r="S269">
        <v>3</v>
      </c>
      <c r="T269">
        <v>65.569999999999993</v>
      </c>
      <c r="U269">
        <v>0.4153</v>
      </c>
      <c r="V269">
        <v>2.4079999999999999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</row>
    <row r="270" spans="1:36" x14ac:dyDescent="0.2">
      <c r="A270" t="s">
        <v>100</v>
      </c>
      <c r="B270" t="s">
        <v>410</v>
      </c>
      <c r="C270" t="s">
        <v>102</v>
      </c>
      <c r="D270" t="s">
        <v>73</v>
      </c>
      <c r="E270" t="s">
        <v>74</v>
      </c>
      <c r="F270" t="s">
        <v>75</v>
      </c>
      <c r="G270" s="1">
        <v>45207</v>
      </c>
      <c r="J270">
        <v>15</v>
      </c>
      <c r="L270" t="s">
        <v>78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</row>
    <row r="271" spans="1:36" x14ac:dyDescent="0.2">
      <c r="A271" t="s">
        <v>70</v>
      </c>
      <c r="B271" t="s">
        <v>411</v>
      </c>
      <c r="C271" t="s">
        <v>72</v>
      </c>
      <c r="D271" t="s">
        <v>73</v>
      </c>
      <c r="E271" t="s">
        <v>74</v>
      </c>
      <c r="F271" t="s">
        <v>75</v>
      </c>
      <c r="G271" s="1">
        <v>45207</v>
      </c>
      <c r="J271">
        <v>15</v>
      </c>
      <c r="K271" t="s">
        <v>77</v>
      </c>
      <c r="L271" t="s">
        <v>78</v>
      </c>
      <c r="M271">
        <v>42190</v>
      </c>
      <c r="N271">
        <v>325</v>
      </c>
      <c r="O271">
        <v>7.7000000000000002E-3</v>
      </c>
      <c r="P271">
        <v>91.1</v>
      </c>
      <c r="Q271">
        <v>0.28000000000000003</v>
      </c>
      <c r="R271">
        <v>0</v>
      </c>
      <c r="S271">
        <v>8</v>
      </c>
      <c r="T271">
        <v>208.08</v>
      </c>
      <c r="U271">
        <v>0.43780000000000002</v>
      </c>
      <c r="V271">
        <v>2.2841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</row>
    <row r="272" spans="1:36" x14ac:dyDescent="0.2">
      <c r="A272" t="s">
        <v>70</v>
      </c>
      <c r="B272" t="s">
        <v>412</v>
      </c>
      <c r="C272" t="s">
        <v>72</v>
      </c>
      <c r="D272" t="s">
        <v>73</v>
      </c>
      <c r="E272" t="s">
        <v>74</v>
      </c>
      <c r="F272" t="s">
        <v>75</v>
      </c>
      <c r="G272" s="1">
        <v>45207</v>
      </c>
      <c r="J272">
        <v>8</v>
      </c>
      <c r="K272" t="s">
        <v>77</v>
      </c>
      <c r="L272" t="s">
        <v>78</v>
      </c>
      <c r="M272">
        <v>2092</v>
      </c>
      <c r="N272">
        <v>35</v>
      </c>
      <c r="O272">
        <v>1.67E-2</v>
      </c>
      <c r="P272">
        <v>7.38</v>
      </c>
      <c r="Q272">
        <v>0.21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</row>
    <row r="273" spans="1:36" x14ac:dyDescent="0.2">
      <c r="A273" t="s">
        <v>100</v>
      </c>
      <c r="B273" t="s">
        <v>413</v>
      </c>
      <c r="C273" t="s">
        <v>102</v>
      </c>
      <c r="D273" t="s">
        <v>73</v>
      </c>
      <c r="E273" t="s">
        <v>74</v>
      </c>
      <c r="F273" t="s">
        <v>75</v>
      </c>
      <c r="G273" s="1">
        <v>45207</v>
      </c>
      <c r="J273">
        <v>15</v>
      </c>
      <c r="L273" t="s">
        <v>78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</row>
    <row r="274" spans="1:36" x14ac:dyDescent="0.2">
      <c r="A274" t="s">
        <v>70</v>
      </c>
      <c r="B274" t="s">
        <v>414</v>
      </c>
      <c r="C274" t="s">
        <v>72</v>
      </c>
      <c r="D274" t="s">
        <v>73</v>
      </c>
      <c r="E274" t="s">
        <v>74</v>
      </c>
      <c r="F274" t="s">
        <v>75</v>
      </c>
      <c r="G274" s="1">
        <v>45207</v>
      </c>
      <c r="J274">
        <v>18</v>
      </c>
      <c r="K274" t="s">
        <v>77</v>
      </c>
      <c r="L274" t="s">
        <v>78</v>
      </c>
      <c r="M274">
        <v>90980</v>
      </c>
      <c r="N274">
        <v>421</v>
      </c>
      <c r="O274">
        <v>4.5999999999999999E-3</v>
      </c>
      <c r="P274">
        <v>127.56</v>
      </c>
      <c r="Q274">
        <v>0.3</v>
      </c>
      <c r="R274">
        <v>0</v>
      </c>
      <c r="S274">
        <v>12</v>
      </c>
      <c r="T274">
        <v>401.83</v>
      </c>
      <c r="U274">
        <v>0.31740000000000002</v>
      </c>
      <c r="V274">
        <v>3.1501000000000001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</row>
    <row r="275" spans="1:36" x14ac:dyDescent="0.2">
      <c r="A275" t="s">
        <v>70</v>
      </c>
      <c r="B275" t="s">
        <v>415</v>
      </c>
      <c r="C275" t="s">
        <v>72</v>
      </c>
      <c r="D275" t="s">
        <v>73</v>
      </c>
      <c r="E275" t="s">
        <v>74</v>
      </c>
      <c r="F275" t="s">
        <v>75</v>
      </c>
      <c r="G275" s="1">
        <v>45207</v>
      </c>
      <c r="J275">
        <v>12</v>
      </c>
      <c r="K275" t="s">
        <v>77</v>
      </c>
      <c r="L275" t="s">
        <v>78</v>
      </c>
      <c r="M275">
        <v>7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1</v>
      </c>
      <c r="T275">
        <v>19.440000000000001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</row>
    <row r="276" spans="1:36" x14ac:dyDescent="0.2">
      <c r="A276" t="s">
        <v>100</v>
      </c>
      <c r="B276" t="s">
        <v>416</v>
      </c>
      <c r="C276" t="s">
        <v>102</v>
      </c>
      <c r="D276" t="s">
        <v>73</v>
      </c>
      <c r="E276" t="s">
        <v>74</v>
      </c>
      <c r="F276" t="s">
        <v>75</v>
      </c>
      <c r="G276" s="1">
        <v>45207</v>
      </c>
      <c r="J276">
        <v>8</v>
      </c>
      <c r="L276" t="s">
        <v>78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</row>
    <row r="277" spans="1:36" x14ac:dyDescent="0.2">
      <c r="A277" t="s">
        <v>100</v>
      </c>
      <c r="B277" t="s">
        <v>417</v>
      </c>
      <c r="C277" t="s">
        <v>102</v>
      </c>
      <c r="D277" t="s">
        <v>73</v>
      </c>
      <c r="E277" t="s">
        <v>96</v>
      </c>
      <c r="F277" t="s">
        <v>75</v>
      </c>
      <c r="G277" t="s">
        <v>418</v>
      </c>
      <c r="I277" t="s">
        <v>142</v>
      </c>
      <c r="J277">
        <v>4</v>
      </c>
      <c r="L277" t="s">
        <v>78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</row>
    <row r="278" spans="1:36" x14ac:dyDescent="0.2">
      <c r="A278" t="s">
        <v>100</v>
      </c>
      <c r="B278" t="s">
        <v>419</v>
      </c>
      <c r="C278" t="s">
        <v>102</v>
      </c>
      <c r="D278" t="s">
        <v>73</v>
      </c>
      <c r="E278" t="s">
        <v>96</v>
      </c>
      <c r="F278" t="s">
        <v>75</v>
      </c>
      <c r="G278" t="s">
        <v>418</v>
      </c>
      <c r="I278" t="s">
        <v>142</v>
      </c>
      <c r="J278">
        <v>11</v>
      </c>
      <c r="L278" t="s">
        <v>78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</row>
    <row r="279" spans="1:36" x14ac:dyDescent="0.2">
      <c r="A279" t="s">
        <v>100</v>
      </c>
      <c r="B279" t="s">
        <v>420</v>
      </c>
      <c r="C279" t="s">
        <v>102</v>
      </c>
      <c r="D279" t="s">
        <v>73</v>
      </c>
      <c r="E279" t="s">
        <v>96</v>
      </c>
      <c r="F279" t="s">
        <v>75</v>
      </c>
      <c r="G279" t="s">
        <v>418</v>
      </c>
      <c r="I279" t="s">
        <v>222</v>
      </c>
      <c r="J279">
        <v>28</v>
      </c>
      <c r="L279" t="s">
        <v>78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</row>
    <row r="280" spans="1:36" x14ac:dyDescent="0.2">
      <c r="A280" t="s">
        <v>70</v>
      </c>
      <c r="B280" t="s">
        <v>421</v>
      </c>
      <c r="C280" t="s">
        <v>72</v>
      </c>
      <c r="D280" t="s">
        <v>73</v>
      </c>
      <c r="E280" t="s">
        <v>96</v>
      </c>
      <c r="F280" t="s">
        <v>75</v>
      </c>
      <c r="G280" t="s">
        <v>418</v>
      </c>
      <c r="I280" t="s">
        <v>222</v>
      </c>
      <c r="J280">
        <v>15</v>
      </c>
      <c r="K280" t="s">
        <v>77</v>
      </c>
      <c r="L280" t="s">
        <v>78</v>
      </c>
      <c r="M280">
        <v>3630</v>
      </c>
      <c r="N280">
        <v>5</v>
      </c>
      <c r="O280">
        <v>1.4E-3</v>
      </c>
      <c r="P280">
        <v>4.5999999999999996</v>
      </c>
      <c r="Q280">
        <v>0.92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</row>
    <row r="281" spans="1:36" x14ac:dyDescent="0.2">
      <c r="A281" t="s">
        <v>70</v>
      </c>
      <c r="B281" t="s">
        <v>422</v>
      </c>
      <c r="C281" t="s">
        <v>72</v>
      </c>
      <c r="D281" t="s">
        <v>73</v>
      </c>
      <c r="E281" t="s">
        <v>96</v>
      </c>
      <c r="F281" t="s">
        <v>75</v>
      </c>
      <c r="G281" t="s">
        <v>418</v>
      </c>
      <c r="I281" t="s">
        <v>222</v>
      </c>
      <c r="J281">
        <v>11</v>
      </c>
      <c r="K281" s="2">
        <v>0.162962962962962</v>
      </c>
      <c r="L281" t="s">
        <v>78</v>
      </c>
      <c r="M281">
        <v>1005</v>
      </c>
      <c r="N281">
        <v>2</v>
      </c>
      <c r="O281">
        <v>2E-3</v>
      </c>
      <c r="P281">
        <v>2.38</v>
      </c>
      <c r="Q281">
        <v>1.19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</row>
    <row r="282" spans="1:36" x14ac:dyDescent="0.2">
      <c r="A282" t="s">
        <v>70</v>
      </c>
      <c r="B282" t="s">
        <v>423</v>
      </c>
      <c r="C282" t="s">
        <v>72</v>
      </c>
      <c r="D282" t="s">
        <v>73</v>
      </c>
      <c r="E282" t="s">
        <v>96</v>
      </c>
      <c r="F282" t="s">
        <v>75</v>
      </c>
      <c r="G282" t="s">
        <v>418</v>
      </c>
      <c r="I282" t="s">
        <v>222</v>
      </c>
      <c r="J282">
        <v>8.5</v>
      </c>
      <c r="K282" s="2">
        <v>6.2043795620437901E-2</v>
      </c>
      <c r="L282" t="s">
        <v>78</v>
      </c>
      <c r="M282">
        <v>729</v>
      </c>
      <c r="N282">
        <v>3</v>
      </c>
      <c r="O282">
        <v>4.1000000000000003E-3</v>
      </c>
      <c r="P282">
        <v>1.91</v>
      </c>
      <c r="Q282">
        <v>0.64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</row>
    <row r="283" spans="1:36" x14ac:dyDescent="0.2">
      <c r="A283" t="s">
        <v>100</v>
      </c>
      <c r="B283" t="s">
        <v>424</v>
      </c>
      <c r="C283" t="s">
        <v>102</v>
      </c>
      <c r="D283" t="s">
        <v>73</v>
      </c>
      <c r="E283" t="s">
        <v>96</v>
      </c>
      <c r="F283" t="s">
        <v>75</v>
      </c>
      <c r="G283" t="s">
        <v>418</v>
      </c>
      <c r="I283" t="s">
        <v>425</v>
      </c>
      <c r="J283">
        <v>18</v>
      </c>
      <c r="L283" t="s">
        <v>78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</row>
    <row r="284" spans="1:36" x14ac:dyDescent="0.2">
      <c r="A284" t="s">
        <v>100</v>
      </c>
      <c r="B284" t="s">
        <v>426</v>
      </c>
      <c r="C284" t="s">
        <v>102</v>
      </c>
      <c r="D284" t="s">
        <v>73</v>
      </c>
      <c r="E284" t="s">
        <v>96</v>
      </c>
      <c r="F284" t="s">
        <v>75</v>
      </c>
      <c r="G284" t="s">
        <v>418</v>
      </c>
      <c r="I284" t="s">
        <v>425</v>
      </c>
      <c r="J284">
        <v>11</v>
      </c>
      <c r="L284" t="s">
        <v>78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</row>
    <row r="285" spans="1:36" x14ac:dyDescent="0.2">
      <c r="A285" t="s">
        <v>100</v>
      </c>
      <c r="B285" t="s">
        <v>427</v>
      </c>
      <c r="C285" t="s">
        <v>102</v>
      </c>
      <c r="D285" t="s">
        <v>256</v>
      </c>
      <c r="E285" t="s">
        <v>96</v>
      </c>
      <c r="G285" s="1">
        <v>45237</v>
      </c>
      <c r="J285">
        <v>2</v>
      </c>
      <c r="L285" t="s">
        <v>78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</row>
    <row r="286" spans="1:36" x14ac:dyDescent="0.2">
      <c r="A286" t="s">
        <v>100</v>
      </c>
      <c r="B286" t="s">
        <v>428</v>
      </c>
      <c r="C286" t="s">
        <v>102</v>
      </c>
      <c r="D286" t="s">
        <v>73</v>
      </c>
      <c r="E286" t="s">
        <v>96</v>
      </c>
      <c r="F286" t="s">
        <v>75</v>
      </c>
      <c r="G286" s="1">
        <v>45206</v>
      </c>
      <c r="I286" t="s">
        <v>134</v>
      </c>
      <c r="J286">
        <v>11</v>
      </c>
      <c r="L286" t="s">
        <v>78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</row>
    <row r="287" spans="1:36" x14ac:dyDescent="0.2">
      <c r="A287" t="s">
        <v>70</v>
      </c>
      <c r="B287" t="s">
        <v>429</v>
      </c>
      <c r="C287" t="s">
        <v>72</v>
      </c>
      <c r="D287" t="s">
        <v>73</v>
      </c>
      <c r="E287" t="s">
        <v>96</v>
      </c>
      <c r="F287" t="s">
        <v>75</v>
      </c>
      <c r="G287" s="1">
        <v>45206</v>
      </c>
      <c r="J287">
        <v>35</v>
      </c>
      <c r="K287" t="s">
        <v>77</v>
      </c>
      <c r="L287" t="s">
        <v>78</v>
      </c>
      <c r="M287">
        <v>52129</v>
      </c>
      <c r="N287">
        <v>515</v>
      </c>
      <c r="O287">
        <v>9.9000000000000008E-3</v>
      </c>
      <c r="P287">
        <v>150.25</v>
      </c>
      <c r="Q287">
        <v>0.28999999999999998</v>
      </c>
      <c r="R287">
        <v>0</v>
      </c>
      <c r="S287">
        <v>1</v>
      </c>
      <c r="T287">
        <v>230.17</v>
      </c>
      <c r="U287">
        <v>0.65280000000000005</v>
      </c>
      <c r="V287">
        <v>1.5319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</row>
    <row r="288" spans="1:36" x14ac:dyDescent="0.2">
      <c r="A288" t="s">
        <v>100</v>
      </c>
      <c r="B288" t="s">
        <v>430</v>
      </c>
      <c r="C288" t="s">
        <v>102</v>
      </c>
      <c r="D288" t="s">
        <v>73</v>
      </c>
      <c r="E288" t="s">
        <v>96</v>
      </c>
      <c r="F288" t="s">
        <v>75</v>
      </c>
      <c r="G288" s="1">
        <v>45023</v>
      </c>
      <c r="I288" t="s">
        <v>304</v>
      </c>
      <c r="J288">
        <v>20</v>
      </c>
      <c r="L288" t="s">
        <v>78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</row>
    <row r="289" spans="1:36" x14ac:dyDescent="0.2">
      <c r="A289" t="s">
        <v>100</v>
      </c>
      <c r="B289" t="s">
        <v>431</v>
      </c>
      <c r="C289" t="s">
        <v>102</v>
      </c>
      <c r="D289" t="s">
        <v>73</v>
      </c>
      <c r="E289" t="s">
        <v>96</v>
      </c>
      <c r="F289" t="s">
        <v>75</v>
      </c>
      <c r="G289" s="1">
        <v>45023</v>
      </c>
      <c r="I289" t="s">
        <v>304</v>
      </c>
      <c r="J289">
        <v>55</v>
      </c>
      <c r="L289" t="s">
        <v>78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</row>
    <row r="290" spans="1:36" x14ac:dyDescent="0.2">
      <c r="A290" t="s">
        <v>100</v>
      </c>
      <c r="B290" t="s">
        <v>432</v>
      </c>
      <c r="C290" t="s">
        <v>102</v>
      </c>
      <c r="D290" t="s">
        <v>73</v>
      </c>
      <c r="E290" t="s">
        <v>96</v>
      </c>
      <c r="F290" t="s">
        <v>75</v>
      </c>
      <c r="G290" s="1">
        <v>45023</v>
      </c>
      <c r="I290" t="s">
        <v>304</v>
      </c>
      <c r="J290">
        <v>26</v>
      </c>
      <c r="L290" t="s">
        <v>78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</row>
    <row r="291" spans="1:36" x14ac:dyDescent="0.2">
      <c r="A291" t="s">
        <v>100</v>
      </c>
      <c r="B291" t="s">
        <v>433</v>
      </c>
      <c r="C291" t="s">
        <v>102</v>
      </c>
      <c r="D291" t="s">
        <v>73</v>
      </c>
      <c r="E291" t="s">
        <v>96</v>
      </c>
      <c r="F291" t="s">
        <v>75</v>
      </c>
      <c r="G291" s="1">
        <v>45023</v>
      </c>
      <c r="I291" t="s">
        <v>304</v>
      </c>
      <c r="J291">
        <v>35</v>
      </c>
      <c r="L291" t="s">
        <v>78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</row>
    <row r="292" spans="1:36" x14ac:dyDescent="0.2">
      <c r="A292" t="s">
        <v>70</v>
      </c>
      <c r="B292" t="s">
        <v>434</v>
      </c>
      <c r="C292" t="s">
        <v>72</v>
      </c>
      <c r="D292" t="s">
        <v>73</v>
      </c>
      <c r="E292" t="s">
        <v>96</v>
      </c>
      <c r="F292" t="s">
        <v>75</v>
      </c>
      <c r="G292" s="1">
        <v>45023</v>
      </c>
      <c r="I292" t="s">
        <v>134</v>
      </c>
      <c r="J292">
        <v>8</v>
      </c>
      <c r="K292" t="s">
        <v>77</v>
      </c>
      <c r="L292" t="s">
        <v>78</v>
      </c>
      <c r="M292">
        <v>133107</v>
      </c>
      <c r="N292">
        <v>1220</v>
      </c>
      <c r="O292">
        <v>9.1999999999999998E-3</v>
      </c>
      <c r="P292">
        <v>473.86</v>
      </c>
      <c r="Q292">
        <v>0.39</v>
      </c>
      <c r="R292">
        <v>0</v>
      </c>
      <c r="S292">
        <v>5</v>
      </c>
      <c r="T292">
        <v>760.26</v>
      </c>
      <c r="U292">
        <v>0.62329999999999997</v>
      </c>
      <c r="V292">
        <v>1.6044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</row>
    <row r="293" spans="1:36" x14ac:dyDescent="0.2">
      <c r="A293" t="s">
        <v>100</v>
      </c>
      <c r="B293" t="s">
        <v>435</v>
      </c>
      <c r="C293" t="s">
        <v>102</v>
      </c>
      <c r="D293" t="s">
        <v>73</v>
      </c>
      <c r="E293" t="s">
        <v>96</v>
      </c>
      <c r="F293" t="s">
        <v>75</v>
      </c>
      <c r="G293" s="1">
        <v>45023</v>
      </c>
      <c r="J293">
        <v>11</v>
      </c>
      <c r="L293" t="s">
        <v>78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</row>
    <row r="294" spans="1:36" x14ac:dyDescent="0.2">
      <c r="A294" t="s">
        <v>70</v>
      </c>
      <c r="B294" t="s">
        <v>436</v>
      </c>
      <c r="C294" t="s">
        <v>72</v>
      </c>
      <c r="D294" t="s">
        <v>73</v>
      </c>
      <c r="E294" t="s">
        <v>96</v>
      </c>
      <c r="F294" t="s">
        <v>75</v>
      </c>
      <c r="G294" s="1">
        <v>45023</v>
      </c>
      <c r="I294" t="s">
        <v>134</v>
      </c>
      <c r="J294">
        <v>12.5</v>
      </c>
      <c r="L294" t="s">
        <v>78</v>
      </c>
      <c r="M294">
        <v>1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</row>
    <row r="295" spans="1:36" x14ac:dyDescent="0.2">
      <c r="A295" t="s">
        <v>70</v>
      </c>
      <c r="B295" t="s">
        <v>437</v>
      </c>
      <c r="C295" t="s">
        <v>72</v>
      </c>
      <c r="D295" t="s">
        <v>73</v>
      </c>
      <c r="E295" t="s">
        <v>96</v>
      </c>
      <c r="F295" t="s">
        <v>141</v>
      </c>
      <c r="G295" t="s">
        <v>438</v>
      </c>
      <c r="J295">
        <v>40</v>
      </c>
      <c r="K295" t="s">
        <v>77</v>
      </c>
      <c r="L295" t="s">
        <v>78</v>
      </c>
      <c r="M295">
        <v>77748</v>
      </c>
      <c r="N295">
        <v>936</v>
      </c>
      <c r="O295">
        <v>1.2E-2</v>
      </c>
      <c r="P295">
        <v>203.12</v>
      </c>
      <c r="Q295">
        <v>0.22</v>
      </c>
      <c r="R295">
        <v>0</v>
      </c>
      <c r="S295">
        <v>32</v>
      </c>
      <c r="T295">
        <v>753.96</v>
      </c>
      <c r="U295">
        <v>0.26939999999999997</v>
      </c>
      <c r="V295">
        <v>3.7119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</row>
    <row r="296" spans="1:36" x14ac:dyDescent="0.2">
      <c r="A296" t="s">
        <v>70</v>
      </c>
      <c r="B296" t="s">
        <v>439</v>
      </c>
      <c r="C296" t="s">
        <v>72</v>
      </c>
      <c r="D296" t="s">
        <v>73</v>
      </c>
      <c r="E296" t="s">
        <v>96</v>
      </c>
      <c r="F296" t="s">
        <v>116</v>
      </c>
      <c r="G296" t="s">
        <v>440</v>
      </c>
      <c r="J296">
        <v>76</v>
      </c>
      <c r="K296" t="s">
        <v>77</v>
      </c>
      <c r="L296" t="s">
        <v>78</v>
      </c>
      <c r="M296">
        <v>223451</v>
      </c>
      <c r="N296">
        <v>2427</v>
      </c>
      <c r="O296">
        <v>1.09E-2</v>
      </c>
      <c r="P296">
        <v>781.07</v>
      </c>
      <c r="Q296">
        <v>0.32</v>
      </c>
      <c r="R296">
        <v>0</v>
      </c>
      <c r="S296">
        <v>24</v>
      </c>
      <c r="T296">
        <v>4053.15</v>
      </c>
      <c r="U296">
        <v>0.19270000000000001</v>
      </c>
      <c r="V296">
        <v>5.1891999999999996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</row>
    <row r="297" spans="1:36" x14ac:dyDescent="0.2">
      <c r="A297" t="s">
        <v>70</v>
      </c>
      <c r="B297" t="s">
        <v>441</v>
      </c>
      <c r="C297" t="s">
        <v>72</v>
      </c>
      <c r="D297" t="s">
        <v>73</v>
      </c>
      <c r="E297" t="s">
        <v>96</v>
      </c>
      <c r="F297" t="s">
        <v>75</v>
      </c>
      <c r="G297" t="s">
        <v>440</v>
      </c>
      <c r="I297" t="s">
        <v>128</v>
      </c>
      <c r="J297">
        <v>35</v>
      </c>
      <c r="K297" t="s">
        <v>77</v>
      </c>
      <c r="L297" t="s">
        <v>78</v>
      </c>
      <c r="M297">
        <v>19502</v>
      </c>
      <c r="N297">
        <v>132</v>
      </c>
      <c r="O297">
        <v>6.7999999999999996E-3</v>
      </c>
      <c r="P297">
        <v>58.67</v>
      </c>
      <c r="Q297">
        <v>0.44</v>
      </c>
      <c r="R297">
        <v>0</v>
      </c>
      <c r="S297">
        <v>5</v>
      </c>
      <c r="T297">
        <v>95.74</v>
      </c>
      <c r="U297">
        <v>0.61280000000000001</v>
      </c>
      <c r="V297">
        <v>1.6317999999999999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</row>
    <row r="298" spans="1:36" x14ac:dyDescent="0.2">
      <c r="A298" t="s">
        <v>70</v>
      </c>
      <c r="B298" t="s">
        <v>442</v>
      </c>
      <c r="C298" t="s">
        <v>72</v>
      </c>
      <c r="D298" t="s">
        <v>73</v>
      </c>
      <c r="E298" t="s">
        <v>96</v>
      </c>
      <c r="F298" t="s">
        <v>75</v>
      </c>
      <c r="G298" t="s">
        <v>440</v>
      </c>
      <c r="I298" t="s">
        <v>128</v>
      </c>
      <c r="J298">
        <v>11</v>
      </c>
      <c r="K298" t="s">
        <v>77</v>
      </c>
      <c r="L298" t="s">
        <v>78</v>
      </c>
      <c r="M298">
        <v>11437</v>
      </c>
      <c r="N298">
        <v>60</v>
      </c>
      <c r="O298">
        <v>5.1999999999999998E-3</v>
      </c>
      <c r="P298">
        <v>39.43</v>
      </c>
      <c r="Q298">
        <v>0.66</v>
      </c>
      <c r="R298">
        <v>0</v>
      </c>
      <c r="S298">
        <v>2</v>
      </c>
      <c r="T298">
        <v>39.51</v>
      </c>
      <c r="U298">
        <v>0.998</v>
      </c>
      <c r="V298">
        <v>1.002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</row>
    <row r="299" spans="1:36" x14ac:dyDescent="0.2">
      <c r="A299" t="s">
        <v>70</v>
      </c>
      <c r="B299" t="s">
        <v>443</v>
      </c>
      <c r="C299" t="s">
        <v>72</v>
      </c>
      <c r="D299" t="s">
        <v>73</v>
      </c>
      <c r="E299" t="s">
        <v>96</v>
      </c>
      <c r="F299" t="s">
        <v>75</v>
      </c>
      <c r="G299" t="s">
        <v>440</v>
      </c>
      <c r="I299" t="s">
        <v>128</v>
      </c>
      <c r="J299">
        <v>80</v>
      </c>
      <c r="K299" t="s">
        <v>77</v>
      </c>
      <c r="L299" t="s">
        <v>78</v>
      </c>
      <c r="M299">
        <v>77192</v>
      </c>
      <c r="N299">
        <v>799</v>
      </c>
      <c r="O299">
        <v>1.04E-2</v>
      </c>
      <c r="P299">
        <v>476.66</v>
      </c>
      <c r="Q299">
        <v>0.6</v>
      </c>
      <c r="R299">
        <v>0</v>
      </c>
      <c r="S299">
        <v>52</v>
      </c>
      <c r="T299">
        <v>1062.5899999999999</v>
      </c>
      <c r="U299">
        <v>0.4486</v>
      </c>
      <c r="V299">
        <v>2.2292000000000001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</row>
    <row r="300" spans="1:36" x14ac:dyDescent="0.2">
      <c r="A300" t="s">
        <v>70</v>
      </c>
      <c r="B300" t="s">
        <v>444</v>
      </c>
      <c r="C300" t="s">
        <v>72</v>
      </c>
      <c r="D300" t="s">
        <v>73</v>
      </c>
      <c r="E300" t="s">
        <v>96</v>
      </c>
      <c r="F300" t="s">
        <v>75</v>
      </c>
      <c r="G300" t="s">
        <v>440</v>
      </c>
      <c r="I300" t="s">
        <v>128</v>
      </c>
      <c r="J300">
        <v>13</v>
      </c>
      <c r="K300" t="s">
        <v>77</v>
      </c>
      <c r="L300" t="s">
        <v>78</v>
      </c>
      <c r="M300">
        <v>50212</v>
      </c>
      <c r="N300">
        <v>243</v>
      </c>
      <c r="O300">
        <v>4.7999999999999996E-3</v>
      </c>
      <c r="P300">
        <v>167.18</v>
      </c>
      <c r="Q300">
        <v>0.69</v>
      </c>
      <c r="R300">
        <v>0</v>
      </c>
      <c r="S300">
        <v>10</v>
      </c>
      <c r="T300">
        <v>191.57</v>
      </c>
      <c r="U300">
        <v>0.87270000000000003</v>
      </c>
      <c r="V300">
        <v>1.1458999999999999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</row>
    <row r="301" spans="1:36" x14ac:dyDescent="0.2">
      <c r="A301" t="s">
        <v>70</v>
      </c>
      <c r="B301" t="s">
        <v>445</v>
      </c>
      <c r="C301" t="s">
        <v>72</v>
      </c>
      <c r="D301" t="s">
        <v>73</v>
      </c>
      <c r="E301" t="s">
        <v>96</v>
      </c>
      <c r="F301" t="s">
        <v>75</v>
      </c>
      <c r="G301" t="s">
        <v>440</v>
      </c>
      <c r="I301" t="s">
        <v>128</v>
      </c>
      <c r="J301">
        <v>11</v>
      </c>
      <c r="K301" t="s">
        <v>77</v>
      </c>
      <c r="L301" t="s">
        <v>78</v>
      </c>
      <c r="M301">
        <v>4483</v>
      </c>
      <c r="N301">
        <v>40</v>
      </c>
      <c r="O301">
        <v>8.8999999999999999E-3</v>
      </c>
      <c r="P301">
        <v>29.74</v>
      </c>
      <c r="Q301">
        <v>0.74</v>
      </c>
      <c r="R301">
        <v>0</v>
      </c>
      <c r="S301">
        <v>1</v>
      </c>
      <c r="T301">
        <v>19.95</v>
      </c>
      <c r="U301">
        <v>1.4906999999999999</v>
      </c>
      <c r="V301">
        <v>0.67079999999999995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</row>
    <row r="302" spans="1:36" x14ac:dyDescent="0.2">
      <c r="A302" t="s">
        <v>70</v>
      </c>
      <c r="B302" t="s">
        <v>446</v>
      </c>
      <c r="C302" t="s">
        <v>72</v>
      </c>
      <c r="D302" t="s">
        <v>73</v>
      </c>
      <c r="E302" t="s">
        <v>96</v>
      </c>
      <c r="F302" t="s">
        <v>75</v>
      </c>
      <c r="G302" t="s">
        <v>440</v>
      </c>
      <c r="I302" t="s">
        <v>128</v>
      </c>
      <c r="J302">
        <v>15</v>
      </c>
      <c r="K302" t="s">
        <v>77</v>
      </c>
      <c r="L302" t="s">
        <v>78</v>
      </c>
      <c r="M302">
        <v>15999</v>
      </c>
      <c r="N302">
        <v>140</v>
      </c>
      <c r="O302">
        <v>8.8000000000000005E-3</v>
      </c>
      <c r="P302">
        <v>98.84</v>
      </c>
      <c r="Q302">
        <v>0.71</v>
      </c>
      <c r="R302">
        <v>0</v>
      </c>
      <c r="S302">
        <v>8</v>
      </c>
      <c r="T302">
        <v>148.51</v>
      </c>
      <c r="U302">
        <v>0.66549999999999998</v>
      </c>
      <c r="V302">
        <v>1.5024999999999999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</row>
    <row r="303" spans="1:36" x14ac:dyDescent="0.2">
      <c r="A303" t="s">
        <v>70</v>
      </c>
      <c r="B303" t="s">
        <v>447</v>
      </c>
      <c r="C303" t="s">
        <v>72</v>
      </c>
      <c r="D303" t="s">
        <v>73</v>
      </c>
      <c r="E303" t="s">
        <v>96</v>
      </c>
      <c r="F303" t="s">
        <v>75</v>
      </c>
      <c r="G303" t="s">
        <v>440</v>
      </c>
      <c r="I303" t="s">
        <v>128</v>
      </c>
      <c r="J303">
        <v>15</v>
      </c>
      <c r="K303" t="s">
        <v>77</v>
      </c>
      <c r="L303" t="s">
        <v>78</v>
      </c>
      <c r="M303">
        <v>5026</v>
      </c>
      <c r="N303">
        <v>34</v>
      </c>
      <c r="O303">
        <v>6.7999999999999996E-3</v>
      </c>
      <c r="P303">
        <v>10.51</v>
      </c>
      <c r="Q303">
        <v>0.31</v>
      </c>
      <c r="R303">
        <v>0</v>
      </c>
      <c r="S303">
        <v>2</v>
      </c>
      <c r="T303">
        <v>39.04</v>
      </c>
      <c r="U303">
        <v>0.26919999999999999</v>
      </c>
      <c r="V303">
        <v>3.7145999999999999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</row>
    <row r="304" spans="1:36" x14ac:dyDescent="0.2">
      <c r="A304" t="s">
        <v>70</v>
      </c>
      <c r="B304" t="s">
        <v>448</v>
      </c>
      <c r="C304" t="s">
        <v>72</v>
      </c>
      <c r="D304" t="s">
        <v>73</v>
      </c>
      <c r="E304" t="s">
        <v>96</v>
      </c>
      <c r="F304" t="s">
        <v>75</v>
      </c>
      <c r="G304" t="s">
        <v>440</v>
      </c>
      <c r="I304" t="s">
        <v>128</v>
      </c>
      <c r="J304">
        <v>11</v>
      </c>
      <c r="K304" t="s">
        <v>77</v>
      </c>
      <c r="L304" t="s">
        <v>78</v>
      </c>
      <c r="M304">
        <v>6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</row>
    <row r="305" spans="1:36" x14ac:dyDescent="0.2">
      <c r="A305" t="s">
        <v>70</v>
      </c>
      <c r="B305" t="s">
        <v>449</v>
      </c>
      <c r="C305" t="s">
        <v>72</v>
      </c>
      <c r="D305" t="s">
        <v>73</v>
      </c>
      <c r="E305" t="s">
        <v>74</v>
      </c>
      <c r="F305" t="s">
        <v>75</v>
      </c>
      <c r="G305" t="s">
        <v>440</v>
      </c>
      <c r="I305" t="s">
        <v>142</v>
      </c>
      <c r="J305">
        <v>4.8</v>
      </c>
      <c r="K305" t="s">
        <v>77</v>
      </c>
      <c r="L305" t="s">
        <v>78</v>
      </c>
      <c r="M305">
        <v>8418</v>
      </c>
      <c r="N305">
        <v>83</v>
      </c>
      <c r="O305">
        <v>9.9000000000000008E-3</v>
      </c>
      <c r="P305">
        <v>12.69</v>
      </c>
      <c r="Q305">
        <v>0.15</v>
      </c>
      <c r="R305">
        <v>0</v>
      </c>
      <c r="S305">
        <v>1</v>
      </c>
      <c r="T305">
        <v>21.95</v>
      </c>
      <c r="U305">
        <v>0.57809999999999995</v>
      </c>
      <c r="V305">
        <v>1.7297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</row>
    <row r="306" spans="1:36" x14ac:dyDescent="0.2">
      <c r="A306" t="s">
        <v>70</v>
      </c>
      <c r="B306" t="s">
        <v>450</v>
      </c>
      <c r="C306" t="s">
        <v>72</v>
      </c>
      <c r="D306" t="s">
        <v>73</v>
      </c>
      <c r="E306" t="s">
        <v>74</v>
      </c>
      <c r="F306" t="s">
        <v>75</v>
      </c>
      <c r="G306" t="s">
        <v>440</v>
      </c>
      <c r="J306">
        <v>9</v>
      </c>
      <c r="L306" t="s">
        <v>78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</row>
    <row r="307" spans="1:36" x14ac:dyDescent="0.2">
      <c r="A307" t="s">
        <v>70</v>
      </c>
      <c r="B307" t="s">
        <v>451</v>
      </c>
      <c r="C307" t="s">
        <v>72</v>
      </c>
      <c r="D307" t="s">
        <v>73</v>
      </c>
      <c r="E307" t="s">
        <v>74</v>
      </c>
      <c r="F307" t="s">
        <v>75</v>
      </c>
      <c r="G307" t="s">
        <v>440</v>
      </c>
      <c r="I307" t="s">
        <v>214</v>
      </c>
      <c r="J307">
        <v>20</v>
      </c>
      <c r="K307" t="s">
        <v>77</v>
      </c>
      <c r="L307" t="s">
        <v>78</v>
      </c>
      <c r="M307">
        <v>131776</v>
      </c>
      <c r="N307">
        <v>846</v>
      </c>
      <c r="O307">
        <v>6.4000000000000003E-3</v>
      </c>
      <c r="P307">
        <v>369.45</v>
      </c>
      <c r="Q307">
        <v>0.44</v>
      </c>
      <c r="R307">
        <v>0</v>
      </c>
      <c r="S307">
        <v>5</v>
      </c>
      <c r="T307">
        <v>1017.29</v>
      </c>
      <c r="U307">
        <v>0.36320000000000002</v>
      </c>
      <c r="V307">
        <v>2.7534999999999998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</row>
    <row r="308" spans="1:36" x14ac:dyDescent="0.2">
      <c r="A308" t="s">
        <v>70</v>
      </c>
      <c r="B308" t="s">
        <v>452</v>
      </c>
      <c r="C308" t="s">
        <v>72</v>
      </c>
      <c r="D308" t="s">
        <v>73</v>
      </c>
      <c r="E308" t="s">
        <v>74</v>
      </c>
      <c r="F308" t="s">
        <v>75</v>
      </c>
      <c r="G308" t="s">
        <v>440</v>
      </c>
      <c r="I308" t="s">
        <v>243</v>
      </c>
      <c r="J308">
        <v>20</v>
      </c>
      <c r="K308" s="2">
        <v>0.5</v>
      </c>
      <c r="L308" t="s">
        <v>78</v>
      </c>
      <c r="M308">
        <v>3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</row>
    <row r="309" spans="1:36" x14ac:dyDescent="0.2">
      <c r="A309" t="s">
        <v>100</v>
      </c>
      <c r="B309" t="s">
        <v>453</v>
      </c>
      <c r="C309" t="s">
        <v>102</v>
      </c>
      <c r="D309" t="s">
        <v>73</v>
      </c>
      <c r="E309" t="s">
        <v>74</v>
      </c>
      <c r="F309" t="s">
        <v>75</v>
      </c>
      <c r="G309" t="s">
        <v>440</v>
      </c>
      <c r="I309" t="s">
        <v>454</v>
      </c>
      <c r="J309">
        <v>66</v>
      </c>
      <c r="L309" t="s">
        <v>78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</row>
    <row r="310" spans="1:36" x14ac:dyDescent="0.2">
      <c r="A310" t="s">
        <v>70</v>
      </c>
      <c r="B310" t="s">
        <v>455</v>
      </c>
      <c r="C310" t="s">
        <v>72</v>
      </c>
      <c r="D310" t="s">
        <v>73</v>
      </c>
      <c r="E310" t="s">
        <v>74</v>
      </c>
      <c r="F310" t="s">
        <v>75</v>
      </c>
      <c r="G310" t="s">
        <v>440</v>
      </c>
      <c r="I310" t="s">
        <v>212</v>
      </c>
      <c r="J310">
        <v>10</v>
      </c>
      <c r="L310" t="s">
        <v>78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</row>
    <row r="311" spans="1:36" x14ac:dyDescent="0.2">
      <c r="A311" t="s">
        <v>70</v>
      </c>
      <c r="B311" t="s">
        <v>456</v>
      </c>
      <c r="C311" t="s">
        <v>72</v>
      </c>
      <c r="D311" t="s">
        <v>73</v>
      </c>
      <c r="E311" t="s">
        <v>74</v>
      </c>
      <c r="F311" t="s">
        <v>75</v>
      </c>
      <c r="G311" t="s">
        <v>440</v>
      </c>
      <c r="I311" t="s">
        <v>265</v>
      </c>
      <c r="J311">
        <v>22</v>
      </c>
      <c r="K311" t="s">
        <v>77</v>
      </c>
      <c r="L311" t="s">
        <v>78</v>
      </c>
      <c r="M311">
        <v>63223</v>
      </c>
      <c r="N311">
        <v>346</v>
      </c>
      <c r="O311">
        <v>5.4999999999999997E-3</v>
      </c>
      <c r="P311">
        <v>48.24</v>
      </c>
      <c r="Q311">
        <v>0.14000000000000001</v>
      </c>
      <c r="R311">
        <v>0</v>
      </c>
      <c r="S311">
        <v>4</v>
      </c>
      <c r="T311">
        <v>224.48</v>
      </c>
      <c r="U311">
        <v>0.21490000000000001</v>
      </c>
      <c r="V311">
        <v>4.6534000000000004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</row>
    <row r="312" spans="1:36" x14ac:dyDescent="0.2">
      <c r="A312" t="s">
        <v>100</v>
      </c>
      <c r="B312" t="s">
        <v>457</v>
      </c>
      <c r="C312" t="s">
        <v>102</v>
      </c>
      <c r="D312" t="s">
        <v>73</v>
      </c>
      <c r="E312" t="s">
        <v>74</v>
      </c>
      <c r="F312" t="s">
        <v>75</v>
      </c>
      <c r="G312" t="s">
        <v>440</v>
      </c>
      <c r="I312" t="s">
        <v>134</v>
      </c>
      <c r="J312">
        <v>11</v>
      </c>
      <c r="L312" t="s">
        <v>78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</row>
    <row r="313" spans="1:36" x14ac:dyDescent="0.2">
      <c r="A313" t="s">
        <v>100</v>
      </c>
      <c r="B313" t="s">
        <v>458</v>
      </c>
      <c r="C313" t="s">
        <v>102</v>
      </c>
      <c r="D313" t="s">
        <v>73</v>
      </c>
      <c r="E313" t="s">
        <v>74</v>
      </c>
      <c r="F313" t="s">
        <v>75</v>
      </c>
      <c r="G313" t="s">
        <v>440</v>
      </c>
      <c r="I313" t="s">
        <v>134</v>
      </c>
      <c r="J313">
        <v>11</v>
      </c>
      <c r="L313" t="s">
        <v>78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</row>
    <row r="314" spans="1:36" x14ac:dyDescent="0.2">
      <c r="A314" t="s">
        <v>100</v>
      </c>
      <c r="B314" t="s">
        <v>459</v>
      </c>
      <c r="C314" t="s">
        <v>102</v>
      </c>
      <c r="D314" t="s">
        <v>73</v>
      </c>
      <c r="E314" t="s">
        <v>74</v>
      </c>
      <c r="F314" t="s">
        <v>75</v>
      </c>
      <c r="G314" t="s">
        <v>440</v>
      </c>
      <c r="I314" t="s">
        <v>142</v>
      </c>
      <c r="J314">
        <v>11</v>
      </c>
      <c r="L314" t="s">
        <v>78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</row>
    <row r="315" spans="1:36" x14ac:dyDescent="0.2">
      <c r="A315" t="s">
        <v>70</v>
      </c>
      <c r="B315" t="s">
        <v>460</v>
      </c>
      <c r="C315" t="s">
        <v>72</v>
      </c>
      <c r="D315" t="s">
        <v>73</v>
      </c>
      <c r="E315" t="s">
        <v>74</v>
      </c>
      <c r="F315" t="s">
        <v>75</v>
      </c>
      <c r="G315" t="s">
        <v>440</v>
      </c>
      <c r="I315" t="s">
        <v>267</v>
      </c>
      <c r="J315">
        <v>17</v>
      </c>
      <c r="K315" t="s">
        <v>77</v>
      </c>
      <c r="L315" t="s">
        <v>78</v>
      </c>
      <c r="M315">
        <v>12132</v>
      </c>
      <c r="N315">
        <v>113</v>
      </c>
      <c r="O315">
        <v>9.2999999999999992E-3</v>
      </c>
      <c r="P315">
        <v>30.23</v>
      </c>
      <c r="Q315">
        <v>0.27</v>
      </c>
      <c r="R315">
        <v>0</v>
      </c>
      <c r="S315">
        <v>1</v>
      </c>
      <c r="T315">
        <v>99.95</v>
      </c>
      <c r="U315">
        <v>0.30249999999999999</v>
      </c>
      <c r="V315">
        <v>3.3062999999999998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</row>
    <row r="316" spans="1:36" x14ac:dyDescent="0.2">
      <c r="A316" t="s">
        <v>70</v>
      </c>
      <c r="B316" t="s">
        <v>461</v>
      </c>
      <c r="C316" t="s">
        <v>72</v>
      </c>
      <c r="D316" t="s">
        <v>73</v>
      </c>
      <c r="E316" t="s">
        <v>74</v>
      </c>
      <c r="F316" t="s">
        <v>75</v>
      </c>
      <c r="G316" t="s">
        <v>440</v>
      </c>
      <c r="I316" t="s">
        <v>462</v>
      </c>
      <c r="J316">
        <v>25</v>
      </c>
      <c r="K316" t="s">
        <v>77</v>
      </c>
      <c r="L316" t="s">
        <v>78</v>
      </c>
      <c r="M316">
        <v>82324</v>
      </c>
      <c r="N316">
        <v>586</v>
      </c>
      <c r="O316">
        <v>7.1000000000000004E-3</v>
      </c>
      <c r="P316">
        <v>222.66</v>
      </c>
      <c r="Q316">
        <v>0.38</v>
      </c>
      <c r="R316">
        <v>0</v>
      </c>
      <c r="S316">
        <v>53</v>
      </c>
      <c r="T316">
        <v>1069.3599999999999</v>
      </c>
      <c r="U316">
        <v>0.2082</v>
      </c>
      <c r="V316">
        <v>4.8026999999999997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</row>
    <row r="317" spans="1:36" x14ac:dyDescent="0.2">
      <c r="A317" t="s">
        <v>100</v>
      </c>
      <c r="B317" t="s">
        <v>463</v>
      </c>
      <c r="C317" t="s">
        <v>102</v>
      </c>
      <c r="D317" t="s">
        <v>73</v>
      </c>
      <c r="E317" t="s">
        <v>74</v>
      </c>
      <c r="F317" t="s">
        <v>75</v>
      </c>
      <c r="G317" t="s">
        <v>440</v>
      </c>
      <c r="I317" t="s">
        <v>425</v>
      </c>
      <c r="J317">
        <v>11</v>
      </c>
      <c r="L317" t="s">
        <v>78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</row>
    <row r="318" spans="1:36" x14ac:dyDescent="0.2">
      <c r="A318" t="s">
        <v>100</v>
      </c>
      <c r="B318" t="s">
        <v>464</v>
      </c>
      <c r="C318" t="s">
        <v>102</v>
      </c>
      <c r="D318" t="s">
        <v>73</v>
      </c>
      <c r="E318" t="s">
        <v>74</v>
      </c>
      <c r="F318" t="s">
        <v>75</v>
      </c>
      <c r="G318" t="s">
        <v>440</v>
      </c>
      <c r="I318" t="s">
        <v>222</v>
      </c>
      <c r="J318">
        <v>27</v>
      </c>
      <c r="L318" t="s">
        <v>78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</row>
    <row r="319" spans="1:36" x14ac:dyDescent="0.2">
      <c r="A319" t="s">
        <v>70</v>
      </c>
      <c r="B319" t="s">
        <v>465</v>
      </c>
      <c r="C319" t="s">
        <v>72</v>
      </c>
      <c r="D319" t="s">
        <v>73</v>
      </c>
      <c r="E319" t="s">
        <v>74</v>
      </c>
      <c r="F319" t="s">
        <v>75</v>
      </c>
      <c r="G319" t="s">
        <v>440</v>
      </c>
      <c r="I319" t="s">
        <v>128</v>
      </c>
      <c r="J319">
        <v>15</v>
      </c>
      <c r="K319" t="s">
        <v>77</v>
      </c>
      <c r="L319" t="s">
        <v>78</v>
      </c>
      <c r="M319">
        <v>3181</v>
      </c>
      <c r="N319">
        <v>25</v>
      </c>
      <c r="O319">
        <v>7.9000000000000008E-3</v>
      </c>
      <c r="P319">
        <v>8.93</v>
      </c>
      <c r="Q319">
        <v>0.36</v>
      </c>
      <c r="R319">
        <v>0</v>
      </c>
      <c r="S319">
        <v>3</v>
      </c>
      <c r="T319">
        <v>56.31</v>
      </c>
      <c r="U319">
        <v>0.15859999999999999</v>
      </c>
      <c r="V319">
        <v>6.3056999999999999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</row>
    <row r="320" spans="1:36" x14ac:dyDescent="0.2">
      <c r="A320" t="s">
        <v>70</v>
      </c>
      <c r="B320" t="s">
        <v>466</v>
      </c>
      <c r="C320" t="s">
        <v>72</v>
      </c>
      <c r="D320" t="s">
        <v>73</v>
      </c>
      <c r="E320" t="s">
        <v>74</v>
      </c>
      <c r="F320" t="s">
        <v>116</v>
      </c>
      <c r="G320" t="s">
        <v>440</v>
      </c>
      <c r="I320" t="s">
        <v>218</v>
      </c>
      <c r="J320">
        <v>50</v>
      </c>
      <c r="K320" t="s">
        <v>77</v>
      </c>
      <c r="L320" t="s">
        <v>78</v>
      </c>
      <c r="M320">
        <v>14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</row>
    <row r="321" spans="1:36" x14ac:dyDescent="0.2">
      <c r="A321" t="s">
        <v>100</v>
      </c>
      <c r="B321" t="s">
        <v>467</v>
      </c>
      <c r="C321" t="s">
        <v>102</v>
      </c>
      <c r="D321" t="s">
        <v>73</v>
      </c>
      <c r="E321" t="s">
        <v>74</v>
      </c>
      <c r="F321" t="s">
        <v>75</v>
      </c>
      <c r="G321" t="s">
        <v>440</v>
      </c>
      <c r="I321" t="s">
        <v>220</v>
      </c>
      <c r="J321">
        <v>9</v>
      </c>
      <c r="L321" t="s">
        <v>78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</row>
    <row r="322" spans="1:36" x14ac:dyDescent="0.2">
      <c r="A322" t="s">
        <v>70</v>
      </c>
      <c r="B322" t="s">
        <v>468</v>
      </c>
      <c r="C322" t="s">
        <v>72</v>
      </c>
      <c r="D322" t="s">
        <v>73</v>
      </c>
      <c r="E322" t="s">
        <v>74</v>
      </c>
      <c r="F322" t="s">
        <v>75</v>
      </c>
      <c r="G322" t="s">
        <v>440</v>
      </c>
      <c r="I322" t="s">
        <v>469</v>
      </c>
      <c r="J322">
        <v>14</v>
      </c>
      <c r="K322" t="s">
        <v>77</v>
      </c>
      <c r="L322" t="s">
        <v>78</v>
      </c>
      <c r="M322">
        <v>55384</v>
      </c>
      <c r="N322">
        <v>327</v>
      </c>
      <c r="O322">
        <v>5.8999999999999999E-3</v>
      </c>
      <c r="P322">
        <v>68.510000000000005</v>
      </c>
      <c r="Q322">
        <v>0.21</v>
      </c>
      <c r="R322">
        <v>0</v>
      </c>
      <c r="S322">
        <v>4</v>
      </c>
      <c r="T322">
        <v>327.45999999999998</v>
      </c>
      <c r="U322">
        <v>0.2092</v>
      </c>
      <c r="V322">
        <v>4.7797000000000001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</row>
    <row r="323" spans="1:36" x14ac:dyDescent="0.2">
      <c r="A323" t="s">
        <v>100</v>
      </c>
      <c r="B323" t="s">
        <v>470</v>
      </c>
      <c r="C323" t="s">
        <v>102</v>
      </c>
      <c r="D323" t="s">
        <v>73</v>
      </c>
      <c r="E323" t="s">
        <v>74</v>
      </c>
      <c r="F323" t="s">
        <v>75</v>
      </c>
      <c r="G323" t="s">
        <v>440</v>
      </c>
      <c r="I323" t="s">
        <v>304</v>
      </c>
      <c r="J323">
        <v>65</v>
      </c>
      <c r="L323" t="s">
        <v>78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</row>
    <row r="324" spans="1:36" x14ac:dyDescent="0.2">
      <c r="A324" t="s">
        <v>70</v>
      </c>
      <c r="B324" t="s">
        <v>471</v>
      </c>
      <c r="C324" t="s">
        <v>72</v>
      </c>
      <c r="D324" t="s">
        <v>256</v>
      </c>
      <c r="E324" t="s">
        <v>96</v>
      </c>
      <c r="G324" t="s">
        <v>472</v>
      </c>
      <c r="J324">
        <v>8</v>
      </c>
      <c r="L324" t="s">
        <v>78</v>
      </c>
      <c r="M324">
        <v>1065</v>
      </c>
      <c r="N324">
        <v>8</v>
      </c>
      <c r="O324">
        <v>7.4999999999999997E-3</v>
      </c>
      <c r="P324">
        <v>2.71</v>
      </c>
      <c r="Q324">
        <v>0.34</v>
      </c>
      <c r="R324">
        <v>21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</row>
    <row r="325" spans="1:36" x14ac:dyDescent="0.2">
      <c r="A325" t="s">
        <v>70</v>
      </c>
      <c r="B325" t="s">
        <v>473</v>
      </c>
      <c r="C325" t="s">
        <v>72</v>
      </c>
      <c r="D325" t="s">
        <v>73</v>
      </c>
      <c r="E325" t="s">
        <v>96</v>
      </c>
      <c r="F325" t="s">
        <v>75</v>
      </c>
      <c r="G325" t="s">
        <v>474</v>
      </c>
      <c r="J325">
        <v>14</v>
      </c>
      <c r="K325" t="s">
        <v>77</v>
      </c>
      <c r="L325" t="s">
        <v>78</v>
      </c>
      <c r="M325">
        <v>28751</v>
      </c>
      <c r="N325">
        <v>192</v>
      </c>
      <c r="O325">
        <v>6.7000000000000002E-3</v>
      </c>
      <c r="P325">
        <v>51.42</v>
      </c>
      <c r="Q325">
        <v>0.27</v>
      </c>
      <c r="R325">
        <v>0</v>
      </c>
      <c r="S325">
        <v>3</v>
      </c>
      <c r="T325">
        <v>52.77</v>
      </c>
      <c r="U325">
        <v>0.97440000000000004</v>
      </c>
      <c r="V325">
        <v>1.0263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</row>
    <row r="326" spans="1:36" x14ac:dyDescent="0.2">
      <c r="A326" t="s">
        <v>70</v>
      </c>
      <c r="B326" t="s">
        <v>475</v>
      </c>
      <c r="C326" t="s">
        <v>72</v>
      </c>
      <c r="D326" t="s">
        <v>73</v>
      </c>
      <c r="E326" t="s">
        <v>74</v>
      </c>
      <c r="F326" t="s">
        <v>75</v>
      </c>
      <c r="G326" t="s">
        <v>474</v>
      </c>
      <c r="I326" t="s">
        <v>126</v>
      </c>
      <c r="J326">
        <v>21</v>
      </c>
      <c r="K326" t="s">
        <v>77</v>
      </c>
      <c r="L326" t="s">
        <v>78</v>
      </c>
      <c r="M326">
        <v>35183</v>
      </c>
      <c r="N326">
        <v>293</v>
      </c>
      <c r="O326">
        <v>8.3000000000000001E-3</v>
      </c>
      <c r="P326">
        <v>62.56</v>
      </c>
      <c r="Q326">
        <v>0.21</v>
      </c>
      <c r="R326">
        <v>0</v>
      </c>
      <c r="S326">
        <v>7</v>
      </c>
      <c r="T326">
        <v>1293.77</v>
      </c>
      <c r="U326">
        <v>4.8399999999999999E-2</v>
      </c>
      <c r="V326">
        <v>20.680499999999999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</row>
    <row r="327" spans="1:36" x14ac:dyDescent="0.2">
      <c r="A327" t="s">
        <v>70</v>
      </c>
      <c r="B327" t="s">
        <v>476</v>
      </c>
      <c r="C327" t="s">
        <v>72</v>
      </c>
      <c r="D327" t="s">
        <v>73</v>
      </c>
      <c r="E327" t="s">
        <v>74</v>
      </c>
      <c r="F327" t="s">
        <v>75</v>
      </c>
      <c r="G327" t="s">
        <v>474</v>
      </c>
      <c r="J327">
        <v>7</v>
      </c>
      <c r="K327" t="s">
        <v>77</v>
      </c>
      <c r="L327" t="s">
        <v>78</v>
      </c>
      <c r="M327">
        <v>54523</v>
      </c>
      <c r="N327">
        <v>242</v>
      </c>
      <c r="O327">
        <v>4.4000000000000003E-3</v>
      </c>
      <c r="P327">
        <v>91.52</v>
      </c>
      <c r="Q327">
        <v>0.38</v>
      </c>
      <c r="R327">
        <v>0</v>
      </c>
      <c r="S327">
        <v>11</v>
      </c>
      <c r="T327">
        <v>393.45</v>
      </c>
      <c r="U327">
        <v>0.2326</v>
      </c>
      <c r="V327">
        <v>4.2991000000000001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</row>
    <row r="328" spans="1:36" x14ac:dyDescent="0.2">
      <c r="A328" t="s">
        <v>100</v>
      </c>
      <c r="B328" t="s">
        <v>477</v>
      </c>
      <c r="C328" t="s">
        <v>102</v>
      </c>
      <c r="D328" t="s">
        <v>256</v>
      </c>
      <c r="E328" t="s">
        <v>96</v>
      </c>
      <c r="G328" t="s">
        <v>478</v>
      </c>
      <c r="J328">
        <v>9.3800000000000008</v>
      </c>
      <c r="L328" t="s">
        <v>479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</row>
    <row r="329" spans="1:36" x14ac:dyDescent="0.2">
      <c r="A329" t="s">
        <v>70</v>
      </c>
      <c r="B329" t="s">
        <v>480</v>
      </c>
      <c r="C329" t="s">
        <v>72</v>
      </c>
      <c r="D329" t="s">
        <v>73</v>
      </c>
      <c r="E329" t="s">
        <v>74</v>
      </c>
      <c r="F329" t="s">
        <v>75</v>
      </c>
      <c r="G329" t="s">
        <v>481</v>
      </c>
      <c r="J329">
        <v>220</v>
      </c>
      <c r="K329" t="s">
        <v>77</v>
      </c>
      <c r="L329" t="s">
        <v>78</v>
      </c>
      <c r="M329">
        <v>1995861</v>
      </c>
      <c r="N329">
        <v>13770</v>
      </c>
      <c r="O329">
        <v>6.8999999999999999E-3</v>
      </c>
      <c r="P329">
        <v>4046.72</v>
      </c>
      <c r="Q329">
        <v>0.28999999999999998</v>
      </c>
      <c r="R329">
        <v>0</v>
      </c>
      <c r="S329">
        <v>694</v>
      </c>
      <c r="T329">
        <v>21400.92</v>
      </c>
      <c r="U329">
        <v>0.18909999999999999</v>
      </c>
      <c r="V329">
        <v>5.2885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</row>
    <row r="330" spans="1:36" x14ac:dyDescent="0.2">
      <c r="A330" t="s">
        <v>100</v>
      </c>
      <c r="B330" t="s">
        <v>482</v>
      </c>
      <c r="C330" t="s">
        <v>102</v>
      </c>
      <c r="D330" t="s">
        <v>256</v>
      </c>
      <c r="E330" t="s">
        <v>96</v>
      </c>
      <c r="G330" s="1">
        <v>44837</v>
      </c>
      <c r="J330">
        <v>18.75</v>
      </c>
      <c r="L330" t="s">
        <v>479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</row>
    <row r="331" spans="1:36" x14ac:dyDescent="0.2">
      <c r="A331" t="s">
        <v>70</v>
      </c>
      <c r="B331" t="s">
        <v>483</v>
      </c>
      <c r="C331" t="s">
        <v>72</v>
      </c>
      <c r="D331" t="s">
        <v>256</v>
      </c>
      <c r="E331" t="s">
        <v>96</v>
      </c>
      <c r="G331" s="1">
        <v>44807</v>
      </c>
      <c r="J331">
        <v>2</v>
      </c>
      <c r="L331" t="s">
        <v>479</v>
      </c>
      <c r="M331">
        <v>155605</v>
      </c>
      <c r="N331">
        <v>227</v>
      </c>
      <c r="O331">
        <v>1.5E-3</v>
      </c>
      <c r="P331">
        <v>1516</v>
      </c>
      <c r="Q331">
        <v>1.1299999999999999</v>
      </c>
      <c r="R331">
        <v>11973</v>
      </c>
      <c r="S331">
        <v>409</v>
      </c>
      <c r="T331">
        <v>7000</v>
      </c>
      <c r="U331">
        <v>1.61E-2</v>
      </c>
      <c r="V331">
        <v>62.289499999999997</v>
      </c>
      <c r="W331">
        <v>313</v>
      </c>
      <c r="X331">
        <v>0.76529999999999998</v>
      </c>
      <c r="Y331">
        <v>13144.66</v>
      </c>
      <c r="Z331">
        <v>0.82550000000000001</v>
      </c>
      <c r="AA331">
        <v>75538</v>
      </c>
      <c r="AB331">
        <v>3.38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0.4854</v>
      </c>
      <c r="AI331">
        <v>3.0000000000000001E-3</v>
      </c>
      <c r="AJ331">
        <v>0</v>
      </c>
    </row>
    <row r="332" spans="1:36" x14ac:dyDescent="0.2">
      <c r="A332" t="s">
        <v>70</v>
      </c>
      <c r="B332" t="s">
        <v>484</v>
      </c>
      <c r="C332" t="s">
        <v>72</v>
      </c>
      <c r="D332" t="s">
        <v>73</v>
      </c>
      <c r="E332" t="s">
        <v>96</v>
      </c>
      <c r="F332" t="s">
        <v>116</v>
      </c>
      <c r="G332" t="s">
        <v>485</v>
      </c>
      <c r="J332">
        <v>280</v>
      </c>
      <c r="K332" s="2">
        <v>0.15092708949033601</v>
      </c>
      <c r="L332" t="s">
        <v>78</v>
      </c>
      <c r="M332">
        <v>755838</v>
      </c>
      <c r="N332">
        <v>8870</v>
      </c>
      <c r="O332">
        <v>1.17E-2</v>
      </c>
      <c r="P332">
        <v>5065.7700000000004</v>
      </c>
      <c r="Q332">
        <v>0.56999999999999995</v>
      </c>
      <c r="R332">
        <v>0</v>
      </c>
      <c r="S332">
        <v>922</v>
      </c>
      <c r="T332">
        <v>41223.919999999998</v>
      </c>
      <c r="U332">
        <v>0.1229</v>
      </c>
      <c r="V332">
        <v>8.1377000000000006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</row>
    <row r="333" spans="1:36" x14ac:dyDescent="0.2">
      <c r="A333" t="s">
        <v>100</v>
      </c>
      <c r="B333" t="s">
        <v>486</v>
      </c>
      <c r="C333" t="s">
        <v>102</v>
      </c>
      <c r="D333" t="s">
        <v>73</v>
      </c>
      <c r="E333" t="s">
        <v>74</v>
      </c>
      <c r="F333" t="s">
        <v>116</v>
      </c>
      <c r="G333" s="1">
        <v>44239</v>
      </c>
      <c r="J333">
        <v>2.25</v>
      </c>
      <c r="L333" t="s">
        <v>78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</row>
    <row r="334" spans="1:36" x14ac:dyDescent="0.2">
      <c r="A334" t="s">
        <v>100</v>
      </c>
      <c r="B334" t="s">
        <v>487</v>
      </c>
      <c r="C334" t="s">
        <v>102</v>
      </c>
      <c r="D334" t="s">
        <v>73</v>
      </c>
      <c r="E334" t="s">
        <v>96</v>
      </c>
      <c r="F334" t="s">
        <v>116</v>
      </c>
      <c r="G334" t="s">
        <v>488</v>
      </c>
      <c r="J334">
        <v>2.25</v>
      </c>
      <c r="L334" t="s">
        <v>78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</row>
    <row r="335" spans="1:36" x14ac:dyDescent="0.2">
      <c r="A335" t="s">
        <v>100</v>
      </c>
      <c r="B335" t="s">
        <v>489</v>
      </c>
      <c r="C335" t="s">
        <v>102</v>
      </c>
      <c r="D335" t="s">
        <v>490</v>
      </c>
      <c r="E335" t="s">
        <v>96</v>
      </c>
      <c r="F335" t="s">
        <v>116</v>
      </c>
      <c r="G335" t="s">
        <v>488</v>
      </c>
      <c r="J335">
        <v>3.75</v>
      </c>
      <c r="L335" t="s">
        <v>78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</row>
    <row r="336" spans="1:36" x14ac:dyDescent="0.2">
      <c r="A336" t="s">
        <v>100</v>
      </c>
      <c r="B336" t="s">
        <v>491</v>
      </c>
      <c r="C336" t="s">
        <v>102</v>
      </c>
      <c r="D336" t="s">
        <v>490</v>
      </c>
      <c r="E336" t="s">
        <v>96</v>
      </c>
      <c r="F336" t="s">
        <v>116</v>
      </c>
      <c r="G336" t="s">
        <v>488</v>
      </c>
      <c r="J336">
        <v>3.75</v>
      </c>
      <c r="L336" t="s">
        <v>78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</row>
    <row r="337" spans="1:36" x14ac:dyDescent="0.2">
      <c r="A337" t="s">
        <v>100</v>
      </c>
      <c r="B337" t="s">
        <v>492</v>
      </c>
      <c r="C337" t="s">
        <v>102</v>
      </c>
      <c r="D337" t="s">
        <v>256</v>
      </c>
      <c r="E337" t="s">
        <v>96</v>
      </c>
      <c r="G337" s="1">
        <v>44358</v>
      </c>
      <c r="I337" t="s">
        <v>128</v>
      </c>
      <c r="J337">
        <v>9.3800000000000008</v>
      </c>
      <c r="L337" t="s">
        <v>78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</row>
    <row r="338" spans="1:36" x14ac:dyDescent="0.2">
      <c r="A338" t="s">
        <v>100</v>
      </c>
      <c r="B338" t="s">
        <v>493</v>
      </c>
      <c r="C338" t="s">
        <v>102</v>
      </c>
      <c r="D338" t="s">
        <v>256</v>
      </c>
      <c r="E338" t="s">
        <v>96</v>
      </c>
      <c r="G338" s="1">
        <v>44358</v>
      </c>
      <c r="I338" t="s">
        <v>304</v>
      </c>
      <c r="J338">
        <v>9.3800000000000008</v>
      </c>
      <c r="L338" t="s">
        <v>78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</row>
    <row r="339" spans="1:36" x14ac:dyDescent="0.2">
      <c r="A339" t="s">
        <v>100</v>
      </c>
      <c r="B339" t="s">
        <v>494</v>
      </c>
      <c r="C339" t="s">
        <v>102</v>
      </c>
      <c r="D339" t="s">
        <v>256</v>
      </c>
      <c r="E339" t="s">
        <v>96</v>
      </c>
      <c r="G339" s="1">
        <v>44358</v>
      </c>
      <c r="J339">
        <v>9.3800000000000008</v>
      </c>
      <c r="L339" t="s">
        <v>78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</row>
    <row r="340" spans="1:36" x14ac:dyDescent="0.2">
      <c r="A340" t="s">
        <v>100</v>
      </c>
      <c r="B340" t="s">
        <v>495</v>
      </c>
      <c r="C340" t="s">
        <v>102</v>
      </c>
      <c r="D340" t="s">
        <v>256</v>
      </c>
      <c r="E340" t="s">
        <v>96</v>
      </c>
      <c r="G340" s="1">
        <v>44358</v>
      </c>
      <c r="J340">
        <v>9.3800000000000008</v>
      </c>
      <c r="L340" t="s">
        <v>78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</row>
    <row r="341" spans="1:36" x14ac:dyDescent="0.2">
      <c r="A341" t="s">
        <v>100</v>
      </c>
      <c r="B341" t="s">
        <v>496</v>
      </c>
      <c r="C341" t="s">
        <v>102</v>
      </c>
      <c r="D341" t="s">
        <v>256</v>
      </c>
      <c r="E341" t="s">
        <v>96</v>
      </c>
      <c r="G341" s="1">
        <v>44358</v>
      </c>
      <c r="J341">
        <v>9.3800000000000008</v>
      </c>
      <c r="L341" t="s">
        <v>78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</row>
    <row r="342" spans="1:36" x14ac:dyDescent="0.2">
      <c r="A342" t="s">
        <v>70</v>
      </c>
      <c r="B342" t="s">
        <v>497</v>
      </c>
      <c r="C342" t="s">
        <v>72</v>
      </c>
      <c r="D342" t="s">
        <v>498</v>
      </c>
      <c r="E342" t="s">
        <v>96</v>
      </c>
      <c r="G342" t="s">
        <v>499</v>
      </c>
      <c r="J342">
        <v>56</v>
      </c>
      <c r="K342" s="2">
        <v>8.7135129618289398E-2</v>
      </c>
      <c r="M342">
        <v>1087284</v>
      </c>
      <c r="N342">
        <v>1239</v>
      </c>
      <c r="O342">
        <v>1.1000000000000001E-3</v>
      </c>
      <c r="P342">
        <v>480.61</v>
      </c>
      <c r="Q342">
        <v>0.39</v>
      </c>
      <c r="R342">
        <v>0</v>
      </c>
      <c r="S342">
        <v>87</v>
      </c>
      <c r="T342">
        <v>4437.8900000000003</v>
      </c>
      <c r="U342">
        <v>0.10829999999999999</v>
      </c>
      <c r="V342">
        <v>9.2339000000000002</v>
      </c>
      <c r="W342">
        <v>58</v>
      </c>
      <c r="X342">
        <v>0.66669999999999996</v>
      </c>
      <c r="Y342">
        <v>3289.65</v>
      </c>
      <c r="Z342">
        <v>0.74129999999999996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</row>
    <row r="343" spans="1:36" x14ac:dyDescent="0.2">
      <c r="A343" t="s">
        <v>100</v>
      </c>
      <c r="B343" t="s">
        <v>500</v>
      </c>
      <c r="C343" t="s">
        <v>102</v>
      </c>
      <c r="D343" t="s">
        <v>490</v>
      </c>
      <c r="E343" t="s">
        <v>96</v>
      </c>
      <c r="F343" t="s">
        <v>116</v>
      </c>
      <c r="G343" t="s">
        <v>499</v>
      </c>
      <c r="J343">
        <v>15</v>
      </c>
      <c r="L343" t="s">
        <v>78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</row>
    <row r="344" spans="1:36" x14ac:dyDescent="0.2">
      <c r="A344" t="s">
        <v>100</v>
      </c>
      <c r="B344" t="s">
        <v>501</v>
      </c>
      <c r="C344" t="s">
        <v>102</v>
      </c>
      <c r="D344" t="s">
        <v>73</v>
      </c>
      <c r="E344" t="s">
        <v>74</v>
      </c>
      <c r="F344" t="s">
        <v>116</v>
      </c>
      <c r="G344" s="1">
        <v>44540</v>
      </c>
      <c r="J344">
        <v>15</v>
      </c>
      <c r="L344" t="s">
        <v>78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</row>
    <row r="345" spans="1:36" x14ac:dyDescent="0.2">
      <c r="A345" t="s">
        <v>100</v>
      </c>
      <c r="B345" t="s">
        <v>502</v>
      </c>
      <c r="C345" t="s">
        <v>102</v>
      </c>
      <c r="D345" t="s">
        <v>73</v>
      </c>
      <c r="E345" t="s">
        <v>74</v>
      </c>
      <c r="F345" t="s">
        <v>116</v>
      </c>
      <c r="G345" s="1">
        <v>44540</v>
      </c>
      <c r="J345">
        <v>7.88</v>
      </c>
      <c r="L345" t="s">
        <v>78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</row>
    <row r="346" spans="1:36" x14ac:dyDescent="0.2">
      <c r="A346" t="s">
        <v>70</v>
      </c>
      <c r="B346" t="s">
        <v>503</v>
      </c>
      <c r="C346" t="s">
        <v>72</v>
      </c>
      <c r="D346" t="s">
        <v>73</v>
      </c>
      <c r="E346" t="s">
        <v>74</v>
      </c>
      <c r="F346" t="s">
        <v>116</v>
      </c>
      <c r="G346" s="1">
        <v>44540</v>
      </c>
      <c r="J346">
        <v>25</v>
      </c>
      <c r="K346" t="s">
        <v>77</v>
      </c>
      <c r="L346" t="s">
        <v>78</v>
      </c>
      <c r="M346">
        <v>75175</v>
      </c>
      <c r="N346">
        <v>1030</v>
      </c>
      <c r="O346">
        <v>1.37E-2</v>
      </c>
      <c r="P346">
        <v>216.32</v>
      </c>
      <c r="Q346">
        <v>0.21</v>
      </c>
      <c r="R346">
        <v>0</v>
      </c>
      <c r="S346">
        <v>22</v>
      </c>
      <c r="T346">
        <v>916.37</v>
      </c>
      <c r="U346">
        <v>0.2361</v>
      </c>
      <c r="V346">
        <v>4.2362000000000002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</row>
    <row r="347" spans="1:36" x14ac:dyDescent="0.2">
      <c r="A347" t="s">
        <v>70</v>
      </c>
      <c r="B347" t="s">
        <v>504</v>
      </c>
      <c r="C347" t="s">
        <v>72</v>
      </c>
      <c r="D347" t="s">
        <v>73</v>
      </c>
      <c r="E347" t="s">
        <v>74</v>
      </c>
      <c r="F347" t="s">
        <v>116</v>
      </c>
      <c r="G347" s="1">
        <v>44540</v>
      </c>
      <c r="J347">
        <v>56</v>
      </c>
      <c r="K347" t="s">
        <v>77</v>
      </c>
      <c r="L347" t="s">
        <v>78</v>
      </c>
      <c r="M347">
        <v>169506</v>
      </c>
      <c r="N347">
        <v>1060</v>
      </c>
      <c r="O347">
        <v>6.3E-3</v>
      </c>
      <c r="P347">
        <v>312.81</v>
      </c>
      <c r="Q347">
        <v>0.3</v>
      </c>
      <c r="R347">
        <v>0</v>
      </c>
      <c r="S347">
        <v>93</v>
      </c>
      <c r="T347">
        <v>1721.26</v>
      </c>
      <c r="U347">
        <v>0.1817</v>
      </c>
      <c r="V347">
        <v>5.5026000000000002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</row>
    <row r="348" spans="1:36" x14ac:dyDescent="0.2">
      <c r="A348" t="s">
        <v>100</v>
      </c>
      <c r="B348" t="s">
        <v>505</v>
      </c>
      <c r="C348" t="s">
        <v>102</v>
      </c>
      <c r="D348" t="s">
        <v>73</v>
      </c>
      <c r="E348" t="s">
        <v>74</v>
      </c>
      <c r="F348" t="s">
        <v>116</v>
      </c>
      <c r="G348" s="1">
        <v>44540</v>
      </c>
      <c r="J348">
        <v>4.5</v>
      </c>
      <c r="L348" t="s">
        <v>78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</row>
    <row r="349" spans="1:36" x14ac:dyDescent="0.2">
      <c r="A349" t="s">
        <v>100</v>
      </c>
      <c r="B349" t="s">
        <v>506</v>
      </c>
      <c r="C349" t="s">
        <v>102</v>
      </c>
      <c r="D349" t="s">
        <v>73</v>
      </c>
      <c r="E349" t="s">
        <v>74</v>
      </c>
      <c r="F349" t="s">
        <v>116</v>
      </c>
      <c r="G349" s="1">
        <v>44540</v>
      </c>
      <c r="J349">
        <v>7.88</v>
      </c>
      <c r="L349" t="s">
        <v>78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</row>
    <row r="350" spans="1:36" x14ac:dyDescent="0.2">
      <c r="A350" t="s">
        <v>100</v>
      </c>
      <c r="B350" t="s">
        <v>507</v>
      </c>
      <c r="C350" t="s">
        <v>102</v>
      </c>
      <c r="D350" t="s">
        <v>73</v>
      </c>
      <c r="E350" t="s">
        <v>74</v>
      </c>
      <c r="F350" t="s">
        <v>116</v>
      </c>
      <c r="G350" s="1">
        <v>44540</v>
      </c>
      <c r="J350">
        <v>1.69</v>
      </c>
      <c r="L350" t="s">
        <v>78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</row>
    <row r="351" spans="1:36" x14ac:dyDescent="0.2">
      <c r="A351" t="s">
        <v>100</v>
      </c>
      <c r="B351" t="s">
        <v>508</v>
      </c>
      <c r="C351" t="s">
        <v>102</v>
      </c>
      <c r="D351" t="s">
        <v>73</v>
      </c>
      <c r="E351" t="s">
        <v>74</v>
      </c>
      <c r="F351" t="s">
        <v>116</v>
      </c>
      <c r="G351" s="1">
        <v>44540</v>
      </c>
      <c r="J351">
        <v>1.69</v>
      </c>
      <c r="L351" t="s">
        <v>78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</row>
    <row r="352" spans="1:36" x14ac:dyDescent="0.2">
      <c r="A352" t="s">
        <v>100</v>
      </c>
      <c r="B352" t="s">
        <v>509</v>
      </c>
      <c r="C352" t="s">
        <v>102</v>
      </c>
      <c r="D352" t="s">
        <v>73</v>
      </c>
      <c r="E352" t="s">
        <v>74</v>
      </c>
      <c r="F352" t="s">
        <v>116</v>
      </c>
      <c r="G352" s="1">
        <v>44540</v>
      </c>
      <c r="J352">
        <v>10.130000000000001</v>
      </c>
      <c r="L352" t="s">
        <v>78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</row>
    <row r="353" spans="1:36" x14ac:dyDescent="0.2">
      <c r="A353" t="s">
        <v>100</v>
      </c>
      <c r="B353" t="s">
        <v>510</v>
      </c>
      <c r="C353" t="s">
        <v>102</v>
      </c>
      <c r="D353" t="s">
        <v>73</v>
      </c>
      <c r="E353" t="s">
        <v>96</v>
      </c>
      <c r="F353" t="s">
        <v>116</v>
      </c>
      <c r="G353" s="1">
        <v>44540</v>
      </c>
      <c r="J353">
        <v>19.13</v>
      </c>
      <c r="L353" t="s">
        <v>78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</row>
    <row r="354" spans="1:36" x14ac:dyDescent="0.2">
      <c r="A354" t="s">
        <v>100</v>
      </c>
      <c r="B354" t="s">
        <v>511</v>
      </c>
      <c r="C354" t="s">
        <v>102</v>
      </c>
      <c r="D354" t="s">
        <v>73</v>
      </c>
      <c r="E354" t="s">
        <v>96</v>
      </c>
      <c r="F354" t="s">
        <v>116</v>
      </c>
      <c r="G354" s="1">
        <v>44540</v>
      </c>
      <c r="J354">
        <v>67.5</v>
      </c>
      <c r="L354" t="s">
        <v>78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</row>
    <row r="355" spans="1:36" x14ac:dyDescent="0.2">
      <c r="A355" t="s">
        <v>70</v>
      </c>
      <c r="B355" t="s">
        <v>512</v>
      </c>
      <c r="C355" t="s">
        <v>72</v>
      </c>
      <c r="D355" t="s">
        <v>73</v>
      </c>
      <c r="E355" t="s">
        <v>96</v>
      </c>
      <c r="F355" t="s">
        <v>116</v>
      </c>
      <c r="G355" s="1">
        <v>44540</v>
      </c>
      <c r="J355">
        <v>50</v>
      </c>
      <c r="K355" t="s">
        <v>77</v>
      </c>
      <c r="L355" t="s">
        <v>78</v>
      </c>
      <c r="M355">
        <v>114950</v>
      </c>
      <c r="N355">
        <v>1524</v>
      </c>
      <c r="O355">
        <v>1.3299999999999999E-2</v>
      </c>
      <c r="P355">
        <v>334.72</v>
      </c>
      <c r="Q355">
        <v>0.22</v>
      </c>
      <c r="R355">
        <v>0</v>
      </c>
      <c r="S355">
        <v>14</v>
      </c>
      <c r="T355">
        <v>4043.14</v>
      </c>
      <c r="U355">
        <v>8.2799999999999999E-2</v>
      </c>
      <c r="V355">
        <v>12.0792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</row>
    <row r="356" spans="1:36" x14ac:dyDescent="0.2">
      <c r="A356" t="s">
        <v>100</v>
      </c>
      <c r="B356" t="s">
        <v>513</v>
      </c>
      <c r="C356" t="s">
        <v>102</v>
      </c>
      <c r="D356" t="s">
        <v>73</v>
      </c>
      <c r="E356" t="s">
        <v>96</v>
      </c>
      <c r="F356" t="s">
        <v>116</v>
      </c>
      <c r="G356" s="1">
        <v>44540</v>
      </c>
      <c r="J356">
        <v>3.38</v>
      </c>
      <c r="L356" t="s">
        <v>78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</row>
    <row r="357" spans="1:36" x14ac:dyDescent="0.2">
      <c r="A357" t="s">
        <v>100</v>
      </c>
      <c r="B357" t="s">
        <v>514</v>
      </c>
      <c r="C357" t="s">
        <v>102</v>
      </c>
      <c r="D357" t="s">
        <v>73</v>
      </c>
      <c r="E357" t="s">
        <v>96</v>
      </c>
      <c r="F357" t="s">
        <v>116</v>
      </c>
      <c r="G357" s="1">
        <v>44540</v>
      </c>
      <c r="J357">
        <v>3.94</v>
      </c>
      <c r="L357" t="s">
        <v>78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</row>
    <row r="358" spans="1:36" x14ac:dyDescent="0.2">
      <c r="A358" t="s">
        <v>100</v>
      </c>
      <c r="B358" t="s">
        <v>515</v>
      </c>
      <c r="C358" t="s">
        <v>102</v>
      </c>
      <c r="D358" t="s">
        <v>73</v>
      </c>
      <c r="E358" t="s">
        <v>96</v>
      </c>
      <c r="F358" t="s">
        <v>116</v>
      </c>
      <c r="G358" s="1">
        <v>44540</v>
      </c>
      <c r="J358">
        <v>1.69</v>
      </c>
      <c r="L358" t="s">
        <v>78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</row>
    <row r="359" spans="1:36" x14ac:dyDescent="0.2">
      <c r="A359" t="s">
        <v>100</v>
      </c>
      <c r="B359" t="s">
        <v>516</v>
      </c>
      <c r="C359" t="s">
        <v>102</v>
      </c>
      <c r="D359" t="s">
        <v>73</v>
      </c>
      <c r="E359" t="s">
        <v>96</v>
      </c>
      <c r="F359" t="s">
        <v>116</v>
      </c>
      <c r="G359" s="1">
        <v>44540</v>
      </c>
      <c r="J359">
        <v>16.88</v>
      </c>
      <c r="L359" t="s">
        <v>78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</row>
    <row r="360" spans="1:36" x14ac:dyDescent="0.2">
      <c r="A360" t="s">
        <v>100</v>
      </c>
      <c r="B360" t="s">
        <v>517</v>
      </c>
      <c r="C360" t="s">
        <v>102</v>
      </c>
      <c r="D360" t="s">
        <v>73</v>
      </c>
      <c r="E360" t="s">
        <v>96</v>
      </c>
      <c r="F360" t="s">
        <v>116</v>
      </c>
      <c r="G360" s="1">
        <v>44540</v>
      </c>
      <c r="J360">
        <v>1.69</v>
      </c>
      <c r="L360" t="s">
        <v>78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</row>
    <row r="361" spans="1:36" x14ac:dyDescent="0.2">
      <c r="A361" t="s">
        <v>100</v>
      </c>
      <c r="B361" t="s">
        <v>518</v>
      </c>
      <c r="C361" t="s">
        <v>102</v>
      </c>
      <c r="D361" t="s">
        <v>73</v>
      </c>
      <c r="E361" t="s">
        <v>96</v>
      </c>
      <c r="F361" t="s">
        <v>116</v>
      </c>
      <c r="G361" s="1">
        <v>44540</v>
      </c>
      <c r="J361">
        <v>75</v>
      </c>
      <c r="L361" t="s">
        <v>78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</row>
    <row r="362" spans="1:36" x14ac:dyDescent="0.2">
      <c r="A362" t="s">
        <v>100</v>
      </c>
      <c r="B362" t="s">
        <v>519</v>
      </c>
      <c r="C362" t="s">
        <v>102</v>
      </c>
      <c r="D362" t="s">
        <v>73</v>
      </c>
      <c r="E362" t="s">
        <v>96</v>
      </c>
      <c r="F362" t="s">
        <v>116</v>
      </c>
      <c r="G362" s="1">
        <v>44540</v>
      </c>
      <c r="J362">
        <v>36.56</v>
      </c>
      <c r="L362" t="s">
        <v>78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</row>
    <row r="363" spans="1:36" x14ac:dyDescent="0.2">
      <c r="A363" t="s">
        <v>100</v>
      </c>
      <c r="B363" t="s">
        <v>520</v>
      </c>
      <c r="C363" t="s">
        <v>102</v>
      </c>
      <c r="D363" t="s">
        <v>73</v>
      </c>
      <c r="E363" t="s">
        <v>96</v>
      </c>
      <c r="F363" t="s">
        <v>116</v>
      </c>
      <c r="G363" s="1">
        <v>44540</v>
      </c>
      <c r="J363">
        <v>3.94</v>
      </c>
      <c r="L363" t="s">
        <v>78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</row>
    <row r="364" spans="1:36" x14ac:dyDescent="0.2">
      <c r="A364" t="s">
        <v>100</v>
      </c>
      <c r="B364" t="s">
        <v>521</v>
      </c>
      <c r="C364" t="s">
        <v>102</v>
      </c>
      <c r="D364" t="s">
        <v>73</v>
      </c>
      <c r="E364" t="s">
        <v>96</v>
      </c>
      <c r="F364" t="s">
        <v>116</v>
      </c>
      <c r="G364" s="1">
        <v>44540</v>
      </c>
      <c r="J364">
        <v>1.69</v>
      </c>
      <c r="L364" t="s">
        <v>78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</row>
    <row r="365" spans="1:36" x14ac:dyDescent="0.2">
      <c r="A365" t="s">
        <v>100</v>
      </c>
      <c r="B365" t="s">
        <v>522</v>
      </c>
      <c r="C365" t="s">
        <v>102</v>
      </c>
      <c r="D365" t="s">
        <v>73</v>
      </c>
      <c r="E365" t="s">
        <v>96</v>
      </c>
      <c r="F365" t="s">
        <v>116</v>
      </c>
      <c r="G365" s="1">
        <v>44540</v>
      </c>
      <c r="J365">
        <v>22.5</v>
      </c>
      <c r="L365" t="s">
        <v>78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</row>
    <row r="366" spans="1:36" x14ac:dyDescent="0.2">
      <c r="A366" t="s">
        <v>100</v>
      </c>
      <c r="B366" t="s">
        <v>523</v>
      </c>
      <c r="C366" t="s">
        <v>102</v>
      </c>
      <c r="D366" t="s">
        <v>73</v>
      </c>
      <c r="E366" t="s">
        <v>96</v>
      </c>
      <c r="F366" t="s">
        <v>116</v>
      </c>
      <c r="G366" s="1">
        <v>44540</v>
      </c>
      <c r="J366">
        <v>1.69</v>
      </c>
      <c r="L366" t="s">
        <v>78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</row>
    <row r="367" spans="1:36" x14ac:dyDescent="0.2">
      <c r="A367" t="s">
        <v>100</v>
      </c>
      <c r="B367" t="s">
        <v>524</v>
      </c>
      <c r="C367" t="s">
        <v>102</v>
      </c>
      <c r="D367" t="s">
        <v>73</v>
      </c>
      <c r="E367" t="s">
        <v>96</v>
      </c>
      <c r="F367" t="s">
        <v>116</v>
      </c>
      <c r="G367" s="1">
        <v>44540</v>
      </c>
      <c r="J367">
        <v>3.94</v>
      </c>
      <c r="L367" t="s">
        <v>78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</row>
    <row r="368" spans="1:36" x14ac:dyDescent="0.2">
      <c r="A368" t="s">
        <v>70</v>
      </c>
      <c r="B368" t="s">
        <v>525</v>
      </c>
      <c r="C368" t="s">
        <v>72</v>
      </c>
      <c r="D368" t="s">
        <v>73</v>
      </c>
      <c r="E368" t="s">
        <v>96</v>
      </c>
      <c r="F368" t="s">
        <v>75</v>
      </c>
      <c r="G368" s="1">
        <v>44540</v>
      </c>
      <c r="J368">
        <v>46</v>
      </c>
      <c r="K368" t="s">
        <v>77</v>
      </c>
      <c r="L368" t="s">
        <v>78</v>
      </c>
      <c r="M368">
        <v>148350</v>
      </c>
      <c r="N368">
        <v>1456</v>
      </c>
      <c r="O368">
        <v>9.7999999999999997E-3</v>
      </c>
      <c r="P368">
        <v>607.73</v>
      </c>
      <c r="Q368">
        <v>0.42</v>
      </c>
      <c r="R368">
        <v>0</v>
      </c>
      <c r="S368">
        <v>73</v>
      </c>
      <c r="T368">
        <v>2118.12</v>
      </c>
      <c r="U368">
        <v>0.28689999999999999</v>
      </c>
      <c r="V368">
        <v>3.4853000000000001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</row>
    <row r="369" spans="1:36" x14ac:dyDescent="0.2">
      <c r="A369" t="s">
        <v>70</v>
      </c>
      <c r="B369" t="s">
        <v>526</v>
      </c>
      <c r="C369" t="s">
        <v>72</v>
      </c>
      <c r="D369" t="s">
        <v>73</v>
      </c>
      <c r="E369" t="s">
        <v>96</v>
      </c>
      <c r="F369" t="s">
        <v>116</v>
      </c>
      <c r="G369" s="1">
        <v>44540</v>
      </c>
      <c r="J369">
        <v>94</v>
      </c>
      <c r="K369" t="s">
        <v>77</v>
      </c>
      <c r="L369" t="s">
        <v>78</v>
      </c>
      <c r="M369">
        <v>270061</v>
      </c>
      <c r="N369">
        <v>2366</v>
      </c>
      <c r="O369">
        <v>8.8000000000000005E-3</v>
      </c>
      <c r="P369">
        <v>1308.4000000000001</v>
      </c>
      <c r="Q369">
        <v>0.55000000000000004</v>
      </c>
      <c r="R369">
        <v>0</v>
      </c>
      <c r="S369">
        <v>262</v>
      </c>
      <c r="T369">
        <v>9289.35</v>
      </c>
      <c r="U369">
        <v>0.14080000000000001</v>
      </c>
      <c r="V369">
        <v>7.0998000000000001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</row>
    <row r="370" spans="1:36" x14ac:dyDescent="0.2">
      <c r="A370" t="s">
        <v>100</v>
      </c>
      <c r="B370" t="s">
        <v>527</v>
      </c>
      <c r="C370" t="s">
        <v>102</v>
      </c>
      <c r="D370" t="s">
        <v>73</v>
      </c>
      <c r="E370" t="s">
        <v>96</v>
      </c>
      <c r="F370" t="s">
        <v>116</v>
      </c>
      <c r="G370" s="1">
        <v>44540</v>
      </c>
      <c r="J370">
        <v>1.69</v>
      </c>
      <c r="L370" t="s">
        <v>78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</row>
    <row r="371" spans="1:36" x14ac:dyDescent="0.2">
      <c r="A371" t="s">
        <v>100</v>
      </c>
      <c r="B371" t="s">
        <v>528</v>
      </c>
      <c r="C371" t="s">
        <v>102</v>
      </c>
      <c r="D371" t="s">
        <v>73</v>
      </c>
      <c r="E371" t="s">
        <v>74</v>
      </c>
      <c r="F371" t="s">
        <v>116</v>
      </c>
      <c r="G371" t="s">
        <v>529</v>
      </c>
      <c r="I371" t="s">
        <v>304</v>
      </c>
      <c r="J371">
        <v>2.25</v>
      </c>
      <c r="L371" t="s">
        <v>78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</row>
    <row r="372" spans="1:36" x14ac:dyDescent="0.2">
      <c r="A372" t="s">
        <v>100</v>
      </c>
      <c r="B372" t="s">
        <v>530</v>
      </c>
      <c r="C372" t="s">
        <v>102</v>
      </c>
      <c r="D372" t="s">
        <v>73</v>
      </c>
      <c r="E372" t="s">
        <v>96</v>
      </c>
      <c r="F372" t="s">
        <v>141</v>
      </c>
      <c r="G372" t="s">
        <v>531</v>
      </c>
      <c r="H372" t="s">
        <v>532</v>
      </c>
      <c r="J372">
        <v>4.6900000000000004</v>
      </c>
      <c r="L372" t="s">
        <v>78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</row>
    <row r="373" spans="1:36" x14ac:dyDescent="0.2">
      <c r="A373" t="s">
        <v>100</v>
      </c>
      <c r="B373" t="s">
        <v>533</v>
      </c>
      <c r="C373" t="s">
        <v>102</v>
      </c>
      <c r="D373" t="s">
        <v>73</v>
      </c>
      <c r="E373" t="s">
        <v>96</v>
      </c>
      <c r="F373" t="s">
        <v>116</v>
      </c>
      <c r="G373" s="1">
        <v>44471</v>
      </c>
      <c r="I373" t="s">
        <v>534</v>
      </c>
      <c r="J373">
        <v>2.81</v>
      </c>
      <c r="L373" t="s">
        <v>78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</row>
    <row r="374" spans="1:36" x14ac:dyDescent="0.2">
      <c r="A374" t="s">
        <v>100</v>
      </c>
      <c r="B374" t="s">
        <v>535</v>
      </c>
      <c r="C374" t="s">
        <v>102</v>
      </c>
      <c r="D374" t="s">
        <v>73</v>
      </c>
      <c r="E374" t="s">
        <v>96</v>
      </c>
      <c r="F374" t="s">
        <v>116</v>
      </c>
      <c r="G374" t="s">
        <v>536</v>
      </c>
      <c r="I374" t="s">
        <v>534</v>
      </c>
      <c r="J374">
        <v>5.63</v>
      </c>
      <c r="L374" t="s">
        <v>78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</row>
    <row r="375" spans="1:36" x14ac:dyDescent="0.2">
      <c r="A375" t="s">
        <v>100</v>
      </c>
      <c r="B375" t="s">
        <v>537</v>
      </c>
      <c r="C375" t="s">
        <v>102</v>
      </c>
      <c r="D375" t="s">
        <v>73</v>
      </c>
      <c r="E375" t="s">
        <v>96</v>
      </c>
      <c r="F375" t="s">
        <v>116</v>
      </c>
      <c r="G375" t="s">
        <v>538</v>
      </c>
      <c r="I375" t="s">
        <v>539</v>
      </c>
      <c r="J375">
        <v>2.81</v>
      </c>
      <c r="L375" t="s">
        <v>78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</row>
    <row r="376" spans="1:36" x14ac:dyDescent="0.2">
      <c r="A376" t="s">
        <v>100</v>
      </c>
      <c r="B376" t="s">
        <v>540</v>
      </c>
      <c r="C376" t="s">
        <v>102</v>
      </c>
      <c r="D376" t="s">
        <v>73</v>
      </c>
      <c r="E376" t="s">
        <v>96</v>
      </c>
      <c r="F376" t="s">
        <v>116</v>
      </c>
      <c r="G376" t="s">
        <v>538</v>
      </c>
      <c r="I376" t="s">
        <v>539</v>
      </c>
      <c r="J376">
        <v>2.81</v>
      </c>
      <c r="L376" t="s">
        <v>78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</row>
    <row r="377" spans="1:36" x14ac:dyDescent="0.2">
      <c r="A377" t="s">
        <v>100</v>
      </c>
      <c r="B377" t="s">
        <v>541</v>
      </c>
      <c r="C377" t="s">
        <v>102</v>
      </c>
      <c r="D377" t="s">
        <v>73</v>
      </c>
      <c r="E377" t="s">
        <v>96</v>
      </c>
      <c r="F377" t="s">
        <v>116</v>
      </c>
      <c r="G377" t="s">
        <v>542</v>
      </c>
      <c r="I377" t="s">
        <v>539</v>
      </c>
      <c r="J377">
        <v>5.63</v>
      </c>
      <c r="L377" t="s">
        <v>78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</row>
    <row r="378" spans="1:36" x14ac:dyDescent="0.2">
      <c r="A378" t="s">
        <v>100</v>
      </c>
      <c r="B378" t="s">
        <v>543</v>
      </c>
      <c r="C378" t="s">
        <v>102</v>
      </c>
      <c r="D378" t="s">
        <v>490</v>
      </c>
      <c r="E378" t="s">
        <v>96</v>
      </c>
      <c r="F378" t="s">
        <v>116</v>
      </c>
      <c r="G378" s="1">
        <v>44176</v>
      </c>
      <c r="I378" t="s">
        <v>539</v>
      </c>
      <c r="J378">
        <v>9.3800000000000008</v>
      </c>
      <c r="L378" t="s">
        <v>78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</row>
    <row r="379" spans="1:36" x14ac:dyDescent="0.2">
      <c r="A379" t="s">
        <v>70</v>
      </c>
      <c r="B379" t="s">
        <v>544</v>
      </c>
      <c r="C379" t="s">
        <v>72</v>
      </c>
      <c r="D379" t="s">
        <v>490</v>
      </c>
      <c r="E379" t="s">
        <v>96</v>
      </c>
      <c r="F379" t="s">
        <v>116</v>
      </c>
      <c r="G379" s="1">
        <v>44176</v>
      </c>
      <c r="I379" t="s">
        <v>539</v>
      </c>
      <c r="J379">
        <v>4</v>
      </c>
      <c r="K379" t="s">
        <v>77</v>
      </c>
      <c r="L379" t="s">
        <v>78</v>
      </c>
      <c r="M379">
        <v>10880</v>
      </c>
      <c r="N379">
        <v>132</v>
      </c>
      <c r="O379">
        <v>1.21E-2</v>
      </c>
      <c r="P379">
        <v>85.18</v>
      </c>
      <c r="Q379">
        <v>0.65</v>
      </c>
      <c r="R379">
        <v>249</v>
      </c>
      <c r="S379">
        <v>12</v>
      </c>
      <c r="T379">
        <v>259.86</v>
      </c>
      <c r="U379">
        <v>0.32779999999999998</v>
      </c>
      <c r="V379">
        <v>3.0507</v>
      </c>
      <c r="W379">
        <v>10</v>
      </c>
      <c r="X379">
        <v>0.83330000000000004</v>
      </c>
      <c r="Y379">
        <v>217.61</v>
      </c>
      <c r="Z379">
        <v>0.83740000000000003</v>
      </c>
      <c r="AA379">
        <v>2176</v>
      </c>
      <c r="AB379">
        <v>39.15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</row>
    <row r="380" spans="1:36" x14ac:dyDescent="0.2">
      <c r="A380" t="s">
        <v>100</v>
      </c>
      <c r="B380" t="s">
        <v>545</v>
      </c>
      <c r="C380" t="s">
        <v>102</v>
      </c>
      <c r="D380" t="s">
        <v>490</v>
      </c>
      <c r="E380" t="s">
        <v>96</v>
      </c>
      <c r="F380" t="s">
        <v>116</v>
      </c>
      <c r="G380" s="1">
        <v>44176</v>
      </c>
      <c r="I380" t="s">
        <v>539</v>
      </c>
      <c r="J380">
        <v>4.6900000000000004</v>
      </c>
      <c r="L380" t="s">
        <v>78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</row>
    <row r="381" spans="1:36" x14ac:dyDescent="0.2">
      <c r="A381" t="s">
        <v>100</v>
      </c>
      <c r="B381" t="s">
        <v>546</v>
      </c>
      <c r="C381" t="s">
        <v>102</v>
      </c>
      <c r="D381" t="s">
        <v>73</v>
      </c>
      <c r="E381" t="s">
        <v>96</v>
      </c>
      <c r="F381" t="s">
        <v>116</v>
      </c>
      <c r="G381" s="1">
        <v>43901</v>
      </c>
      <c r="I381" t="s">
        <v>534</v>
      </c>
      <c r="J381">
        <v>15</v>
      </c>
      <c r="L381" t="s">
        <v>78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</row>
    <row r="382" spans="1:36" x14ac:dyDescent="0.2">
      <c r="A382" t="s">
        <v>100</v>
      </c>
      <c r="B382" t="s">
        <v>547</v>
      </c>
      <c r="C382" t="s">
        <v>102</v>
      </c>
      <c r="D382" t="s">
        <v>73</v>
      </c>
      <c r="E382" t="s">
        <v>96</v>
      </c>
      <c r="F382" t="s">
        <v>116</v>
      </c>
      <c r="G382" s="1">
        <v>43901</v>
      </c>
      <c r="I382" t="s">
        <v>534</v>
      </c>
      <c r="J382">
        <v>2.81</v>
      </c>
      <c r="L382" t="s">
        <v>78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</row>
    <row r="383" spans="1:36" x14ac:dyDescent="0.2">
      <c r="A383" t="s">
        <v>100</v>
      </c>
      <c r="B383" t="s">
        <v>548</v>
      </c>
      <c r="C383" t="s">
        <v>102</v>
      </c>
      <c r="D383" t="s">
        <v>73</v>
      </c>
      <c r="E383" t="s">
        <v>96</v>
      </c>
      <c r="F383" t="s">
        <v>116</v>
      </c>
      <c r="G383" s="1">
        <v>43901</v>
      </c>
      <c r="I383" t="s">
        <v>126</v>
      </c>
      <c r="J383">
        <v>2.81</v>
      </c>
      <c r="L383" t="s">
        <v>78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</row>
    <row r="384" spans="1:36" x14ac:dyDescent="0.2">
      <c r="A384" t="s">
        <v>100</v>
      </c>
      <c r="B384" t="s">
        <v>549</v>
      </c>
      <c r="C384" t="s">
        <v>102</v>
      </c>
      <c r="D384" t="s">
        <v>73</v>
      </c>
      <c r="E384" t="s">
        <v>96</v>
      </c>
      <c r="F384" t="s">
        <v>116</v>
      </c>
      <c r="G384" s="1">
        <v>43901</v>
      </c>
      <c r="I384" t="s">
        <v>534</v>
      </c>
      <c r="J384">
        <v>2.81</v>
      </c>
      <c r="L384" t="s">
        <v>78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</row>
    <row r="385" spans="1:36" x14ac:dyDescent="0.2">
      <c r="A385" t="s">
        <v>100</v>
      </c>
      <c r="B385" t="s">
        <v>550</v>
      </c>
      <c r="C385" t="s">
        <v>102</v>
      </c>
      <c r="D385" t="s">
        <v>73</v>
      </c>
      <c r="E385" t="s">
        <v>96</v>
      </c>
      <c r="F385" t="s">
        <v>116</v>
      </c>
      <c r="G385" t="s">
        <v>551</v>
      </c>
      <c r="I385" t="s">
        <v>534</v>
      </c>
      <c r="J385">
        <v>5.63</v>
      </c>
      <c r="L385" t="s">
        <v>78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</row>
    <row r="386" spans="1:36" x14ac:dyDescent="0.2">
      <c r="A386" t="s">
        <v>100</v>
      </c>
      <c r="B386" t="s">
        <v>552</v>
      </c>
      <c r="C386" t="s">
        <v>102</v>
      </c>
      <c r="D386" t="s">
        <v>256</v>
      </c>
      <c r="E386" t="s">
        <v>96</v>
      </c>
      <c r="G386" t="s">
        <v>551</v>
      </c>
      <c r="I386" t="s">
        <v>304</v>
      </c>
      <c r="J386">
        <v>18.75</v>
      </c>
      <c r="L386" t="s">
        <v>78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</row>
    <row r="387" spans="1:36" x14ac:dyDescent="0.2">
      <c r="A387" t="s">
        <v>100</v>
      </c>
      <c r="B387" t="s">
        <v>553</v>
      </c>
      <c r="C387" t="s">
        <v>102</v>
      </c>
      <c r="D387" t="s">
        <v>73</v>
      </c>
      <c r="E387" t="s">
        <v>96</v>
      </c>
      <c r="F387" t="s">
        <v>116</v>
      </c>
      <c r="G387" t="s">
        <v>554</v>
      </c>
      <c r="J387">
        <v>5.63</v>
      </c>
      <c r="L387" t="s">
        <v>78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</row>
    <row r="388" spans="1:36" x14ac:dyDescent="0.2">
      <c r="A388" t="s">
        <v>100</v>
      </c>
      <c r="B388" t="s">
        <v>555</v>
      </c>
      <c r="C388" t="s">
        <v>102</v>
      </c>
      <c r="D388" t="s">
        <v>490</v>
      </c>
      <c r="E388" t="s">
        <v>96</v>
      </c>
      <c r="F388" t="s">
        <v>116</v>
      </c>
      <c r="G388" s="1">
        <v>43840</v>
      </c>
      <c r="I388" t="s">
        <v>539</v>
      </c>
      <c r="J388">
        <v>4.6900000000000004</v>
      </c>
      <c r="L388" t="s">
        <v>78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</row>
    <row r="389" spans="1:36" x14ac:dyDescent="0.2">
      <c r="A389" t="s">
        <v>100</v>
      </c>
      <c r="B389" t="s">
        <v>556</v>
      </c>
      <c r="C389" t="s">
        <v>102</v>
      </c>
      <c r="D389" t="s">
        <v>490</v>
      </c>
      <c r="E389" t="s">
        <v>96</v>
      </c>
      <c r="F389" t="s">
        <v>116</v>
      </c>
      <c r="G389" s="1">
        <v>43840</v>
      </c>
      <c r="I389" t="s">
        <v>539</v>
      </c>
      <c r="J389">
        <v>4.6900000000000004</v>
      </c>
      <c r="L389" t="s">
        <v>78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</row>
    <row r="390" spans="1:36" x14ac:dyDescent="0.2">
      <c r="A390" t="s">
        <v>100</v>
      </c>
      <c r="B390" t="s">
        <v>557</v>
      </c>
      <c r="C390" t="s">
        <v>102</v>
      </c>
      <c r="D390" t="s">
        <v>498</v>
      </c>
      <c r="E390" t="s">
        <v>96</v>
      </c>
      <c r="G390" t="s">
        <v>558</v>
      </c>
      <c r="I390" t="s">
        <v>559</v>
      </c>
      <c r="J390">
        <v>9.3800000000000008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</row>
    <row r="391" spans="1:36" x14ac:dyDescent="0.2">
      <c r="A391" t="s">
        <v>100</v>
      </c>
      <c r="B391" t="s">
        <v>560</v>
      </c>
      <c r="C391" t="s">
        <v>102</v>
      </c>
      <c r="D391" t="s">
        <v>498</v>
      </c>
      <c r="E391" t="s">
        <v>96</v>
      </c>
      <c r="G391" t="s">
        <v>558</v>
      </c>
      <c r="I391" t="s">
        <v>559</v>
      </c>
      <c r="J391">
        <v>3.75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</row>
    <row r="392" spans="1:36" x14ac:dyDescent="0.2">
      <c r="A392" t="s">
        <v>100</v>
      </c>
      <c r="B392" t="s">
        <v>561</v>
      </c>
      <c r="C392" t="s">
        <v>102</v>
      </c>
      <c r="D392" t="s">
        <v>498</v>
      </c>
      <c r="E392" t="s">
        <v>96</v>
      </c>
      <c r="G392" t="s">
        <v>558</v>
      </c>
      <c r="I392" t="s">
        <v>559</v>
      </c>
      <c r="J392">
        <v>3.75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</row>
    <row r="393" spans="1:36" x14ac:dyDescent="0.2">
      <c r="A393" t="s">
        <v>100</v>
      </c>
      <c r="B393" t="s">
        <v>562</v>
      </c>
      <c r="C393" t="s">
        <v>102</v>
      </c>
      <c r="D393" t="s">
        <v>498</v>
      </c>
      <c r="E393" t="s">
        <v>96</v>
      </c>
      <c r="G393" t="s">
        <v>558</v>
      </c>
      <c r="I393" t="s">
        <v>559</v>
      </c>
      <c r="J393">
        <v>9.3800000000000008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</row>
    <row r="394" spans="1:36" x14ac:dyDescent="0.2">
      <c r="A394" t="s">
        <v>100</v>
      </c>
      <c r="B394" t="s">
        <v>563</v>
      </c>
      <c r="C394" t="s">
        <v>102</v>
      </c>
      <c r="D394" t="s">
        <v>498</v>
      </c>
      <c r="E394" t="s">
        <v>96</v>
      </c>
      <c r="G394" t="s">
        <v>558</v>
      </c>
      <c r="I394" t="s">
        <v>559</v>
      </c>
      <c r="J394">
        <v>3.75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</row>
    <row r="395" spans="1:36" x14ac:dyDescent="0.2">
      <c r="A395" t="s">
        <v>100</v>
      </c>
      <c r="B395" t="s">
        <v>564</v>
      </c>
      <c r="C395" t="s">
        <v>102</v>
      </c>
      <c r="D395" t="s">
        <v>498</v>
      </c>
      <c r="E395" t="s">
        <v>96</v>
      </c>
      <c r="G395" t="s">
        <v>558</v>
      </c>
      <c r="I395" t="s">
        <v>559</v>
      </c>
      <c r="J395">
        <v>1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</row>
    <row r="396" spans="1:36" x14ac:dyDescent="0.2">
      <c r="A396" t="s">
        <v>100</v>
      </c>
      <c r="B396" t="s">
        <v>565</v>
      </c>
      <c r="C396" t="s">
        <v>102</v>
      </c>
      <c r="D396" t="s">
        <v>498</v>
      </c>
      <c r="E396" t="s">
        <v>96</v>
      </c>
      <c r="G396" t="s">
        <v>558</v>
      </c>
      <c r="I396" t="s">
        <v>559</v>
      </c>
      <c r="J396">
        <v>9.3800000000000008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</row>
    <row r="397" spans="1:36" x14ac:dyDescent="0.2">
      <c r="A397" t="s">
        <v>100</v>
      </c>
      <c r="B397" t="s">
        <v>566</v>
      </c>
      <c r="C397" t="s">
        <v>102</v>
      </c>
      <c r="D397" t="s">
        <v>498</v>
      </c>
      <c r="E397" t="s">
        <v>96</v>
      </c>
      <c r="G397" t="s">
        <v>558</v>
      </c>
      <c r="I397" t="s">
        <v>559</v>
      </c>
      <c r="J397">
        <v>1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</row>
    <row r="398" spans="1:36" x14ac:dyDescent="0.2">
      <c r="A398" t="s">
        <v>100</v>
      </c>
      <c r="B398" t="s">
        <v>567</v>
      </c>
      <c r="C398" t="s">
        <v>102</v>
      </c>
      <c r="D398" t="s">
        <v>498</v>
      </c>
      <c r="E398" t="s">
        <v>96</v>
      </c>
      <c r="G398" t="s">
        <v>558</v>
      </c>
      <c r="I398" t="s">
        <v>559</v>
      </c>
      <c r="J398">
        <v>1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</row>
    <row r="399" spans="1:36" x14ac:dyDescent="0.2">
      <c r="A399" t="s">
        <v>100</v>
      </c>
      <c r="B399" t="s">
        <v>568</v>
      </c>
      <c r="C399" t="s">
        <v>102</v>
      </c>
      <c r="D399" t="s">
        <v>498</v>
      </c>
      <c r="E399" t="s">
        <v>96</v>
      </c>
      <c r="G399" t="s">
        <v>558</v>
      </c>
      <c r="I399" t="s">
        <v>559</v>
      </c>
      <c r="J399">
        <v>9.3800000000000008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</row>
    <row r="400" spans="1:36" x14ac:dyDescent="0.2">
      <c r="A400" t="s">
        <v>100</v>
      </c>
      <c r="B400" t="s">
        <v>569</v>
      </c>
      <c r="C400" t="s">
        <v>102</v>
      </c>
      <c r="D400" t="s">
        <v>498</v>
      </c>
      <c r="E400" t="s">
        <v>96</v>
      </c>
      <c r="G400" t="s">
        <v>558</v>
      </c>
      <c r="I400" t="s">
        <v>559</v>
      </c>
      <c r="J400">
        <v>9.3800000000000008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</row>
    <row r="401" spans="1:36" x14ac:dyDescent="0.2">
      <c r="A401" t="s">
        <v>100</v>
      </c>
      <c r="B401" t="s">
        <v>570</v>
      </c>
      <c r="C401" t="s">
        <v>102</v>
      </c>
      <c r="D401" t="s">
        <v>498</v>
      </c>
      <c r="E401" t="s">
        <v>96</v>
      </c>
      <c r="G401" t="s">
        <v>558</v>
      </c>
      <c r="I401" t="s">
        <v>559</v>
      </c>
      <c r="J401">
        <v>9.3800000000000008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</row>
    <row r="402" spans="1:36" x14ac:dyDescent="0.2">
      <c r="A402" t="s">
        <v>100</v>
      </c>
      <c r="B402" t="s">
        <v>571</v>
      </c>
      <c r="C402" t="s">
        <v>102</v>
      </c>
      <c r="D402" t="s">
        <v>498</v>
      </c>
      <c r="E402" t="s">
        <v>96</v>
      </c>
      <c r="G402" t="s">
        <v>558</v>
      </c>
      <c r="I402" t="s">
        <v>559</v>
      </c>
      <c r="J402">
        <v>9.3800000000000008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</row>
    <row r="403" spans="1:36" x14ac:dyDescent="0.2">
      <c r="A403" t="s">
        <v>100</v>
      </c>
      <c r="B403" t="s">
        <v>572</v>
      </c>
      <c r="C403" t="s">
        <v>102</v>
      </c>
      <c r="D403" t="s">
        <v>498</v>
      </c>
      <c r="E403" t="s">
        <v>96</v>
      </c>
      <c r="G403" t="s">
        <v>558</v>
      </c>
      <c r="I403" t="s">
        <v>559</v>
      </c>
      <c r="J403">
        <v>9.3800000000000008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</row>
    <row r="404" spans="1:36" x14ac:dyDescent="0.2">
      <c r="A404" t="s">
        <v>100</v>
      </c>
      <c r="B404" t="s">
        <v>573</v>
      </c>
      <c r="C404" t="s">
        <v>102</v>
      </c>
      <c r="D404" t="s">
        <v>498</v>
      </c>
      <c r="E404" t="s">
        <v>96</v>
      </c>
      <c r="G404" t="s">
        <v>558</v>
      </c>
      <c r="I404" t="s">
        <v>559</v>
      </c>
      <c r="J404">
        <v>9.3800000000000008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</row>
    <row r="405" spans="1:36" x14ac:dyDescent="0.2">
      <c r="A405" t="s">
        <v>100</v>
      </c>
      <c r="B405" t="s">
        <v>574</v>
      </c>
      <c r="C405" t="s">
        <v>102</v>
      </c>
      <c r="D405" t="s">
        <v>498</v>
      </c>
      <c r="E405" t="s">
        <v>96</v>
      </c>
      <c r="G405" t="s">
        <v>558</v>
      </c>
      <c r="I405" t="s">
        <v>559</v>
      </c>
      <c r="J405">
        <v>9.3800000000000008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</row>
    <row r="406" spans="1:36" x14ac:dyDescent="0.2">
      <c r="A406" t="s">
        <v>100</v>
      </c>
      <c r="B406" t="s">
        <v>575</v>
      </c>
      <c r="C406" t="s">
        <v>102</v>
      </c>
      <c r="D406" t="s">
        <v>498</v>
      </c>
      <c r="E406" t="s">
        <v>96</v>
      </c>
      <c r="G406" t="s">
        <v>558</v>
      </c>
      <c r="I406" t="s">
        <v>559</v>
      </c>
      <c r="J406">
        <v>9.3800000000000008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</row>
    <row r="407" spans="1:36" x14ac:dyDescent="0.2">
      <c r="A407" t="s">
        <v>100</v>
      </c>
      <c r="B407" t="s">
        <v>576</v>
      </c>
      <c r="C407" t="s">
        <v>102</v>
      </c>
      <c r="D407" t="s">
        <v>498</v>
      </c>
      <c r="E407" t="s">
        <v>96</v>
      </c>
      <c r="G407" t="s">
        <v>558</v>
      </c>
      <c r="I407" t="s">
        <v>559</v>
      </c>
      <c r="J407">
        <v>9.3800000000000008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</row>
    <row r="408" spans="1:36" x14ac:dyDescent="0.2">
      <c r="A408" t="s">
        <v>100</v>
      </c>
      <c r="B408" t="s">
        <v>577</v>
      </c>
      <c r="C408" t="s">
        <v>102</v>
      </c>
      <c r="D408" t="s">
        <v>498</v>
      </c>
      <c r="E408" t="s">
        <v>96</v>
      </c>
      <c r="G408" t="s">
        <v>558</v>
      </c>
      <c r="I408" t="s">
        <v>559</v>
      </c>
      <c r="J408">
        <v>9.3800000000000008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</row>
    <row r="409" spans="1:36" x14ac:dyDescent="0.2">
      <c r="A409" t="s">
        <v>100</v>
      </c>
      <c r="B409" t="s">
        <v>578</v>
      </c>
      <c r="C409" t="s">
        <v>102</v>
      </c>
      <c r="D409" t="s">
        <v>498</v>
      </c>
      <c r="E409" t="s">
        <v>96</v>
      </c>
      <c r="G409" t="s">
        <v>558</v>
      </c>
      <c r="I409" t="s">
        <v>559</v>
      </c>
      <c r="J409">
        <v>9.3800000000000008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</row>
    <row r="410" spans="1:36" x14ac:dyDescent="0.2">
      <c r="A410" t="s">
        <v>100</v>
      </c>
      <c r="B410" t="s">
        <v>579</v>
      </c>
      <c r="C410" t="s">
        <v>102</v>
      </c>
      <c r="D410" t="s">
        <v>498</v>
      </c>
      <c r="E410" t="s">
        <v>96</v>
      </c>
      <c r="G410" t="s">
        <v>558</v>
      </c>
      <c r="I410" t="s">
        <v>559</v>
      </c>
      <c r="J410">
        <v>9.3800000000000008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</row>
    <row r="411" spans="1:36" x14ac:dyDescent="0.2">
      <c r="A411" t="s">
        <v>100</v>
      </c>
      <c r="B411" t="s">
        <v>580</v>
      </c>
      <c r="C411" t="s">
        <v>102</v>
      </c>
      <c r="D411" t="s">
        <v>498</v>
      </c>
      <c r="E411" t="s">
        <v>96</v>
      </c>
      <c r="G411" t="s">
        <v>558</v>
      </c>
      <c r="I411" t="s">
        <v>559</v>
      </c>
      <c r="J411">
        <v>9.3800000000000008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</row>
    <row r="412" spans="1:36" x14ac:dyDescent="0.2">
      <c r="A412" t="s">
        <v>100</v>
      </c>
      <c r="B412" t="s">
        <v>581</v>
      </c>
      <c r="C412" t="s">
        <v>102</v>
      </c>
      <c r="D412" t="s">
        <v>498</v>
      </c>
      <c r="E412" t="s">
        <v>96</v>
      </c>
      <c r="G412" t="s">
        <v>558</v>
      </c>
      <c r="I412" t="s">
        <v>559</v>
      </c>
      <c r="J412">
        <v>9.3800000000000008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</row>
    <row r="413" spans="1:36" x14ac:dyDescent="0.2">
      <c r="A413" t="s">
        <v>100</v>
      </c>
      <c r="B413" t="s">
        <v>582</v>
      </c>
      <c r="C413" t="s">
        <v>102</v>
      </c>
      <c r="D413" t="s">
        <v>498</v>
      </c>
      <c r="E413" t="s">
        <v>96</v>
      </c>
      <c r="G413" t="s">
        <v>558</v>
      </c>
      <c r="I413" t="s">
        <v>559</v>
      </c>
      <c r="J413">
        <v>9.3800000000000008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</row>
    <row r="414" spans="1:36" x14ac:dyDescent="0.2">
      <c r="A414" t="s">
        <v>100</v>
      </c>
      <c r="B414" t="s">
        <v>583</v>
      </c>
      <c r="C414" t="s">
        <v>102</v>
      </c>
      <c r="D414" t="s">
        <v>498</v>
      </c>
      <c r="E414" t="s">
        <v>96</v>
      </c>
      <c r="G414" t="s">
        <v>558</v>
      </c>
      <c r="I414" t="s">
        <v>559</v>
      </c>
      <c r="J414">
        <v>9.3800000000000008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</row>
    <row r="415" spans="1:36" x14ac:dyDescent="0.2">
      <c r="A415" t="s">
        <v>100</v>
      </c>
      <c r="B415" t="s">
        <v>584</v>
      </c>
      <c r="C415" t="s">
        <v>102</v>
      </c>
      <c r="D415" t="s">
        <v>498</v>
      </c>
      <c r="E415" t="s">
        <v>96</v>
      </c>
      <c r="G415" t="s">
        <v>558</v>
      </c>
      <c r="I415" t="s">
        <v>559</v>
      </c>
      <c r="J415">
        <v>9.3800000000000008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</row>
    <row r="416" spans="1:36" x14ac:dyDescent="0.2">
      <c r="A416" t="s">
        <v>100</v>
      </c>
      <c r="B416" t="s">
        <v>585</v>
      </c>
      <c r="C416" t="s">
        <v>102</v>
      </c>
      <c r="D416" t="s">
        <v>498</v>
      </c>
      <c r="E416" t="s">
        <v>96</v>
      </c>
      <c r="G416" t="s">
        <v>558</v>
      </c>
      <c r="I416" t="s">
        <v>559</v>
      </c>
      <c r="J416">
        <v>9.3800000000000008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</row>
    <row r="417" spans="1:36" x14ac:dyDescent="0.2">
      <c r="A417" t="s">
        <v>100</v>
      </c>
      <c r="B417" t="s">
        <v>586</v>
      </c>
      <c r="C417" t="s">
        <v>102</v>
      </c>
      <c r="D417" t="s">
        <v>498</v>
      </c>
      <c r="E417" t="s">
        <v>96</v>
      </c>
      <c r="G417" t="s">
        <v>558</v>
      </c>
      <c r="I417" t="s">
        <v>559</v>
      </c>
      <c r="J417">
        <v>9.3800000000000008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</row>
    <row r="418" spans="1:36" x14ac:dyDescent="0.2">
      <c r="A418" t="s">
        <v>100</v>
      </c>
      <c r="B418" t="s">
        <v>587</v>
      </c>
      <c r="C418" t="s">
        <v>102</v>
      </c>
      <c r="D418" t="s">
        <v>498</v>
      </c>
      <c r="E418" t="s">
        <v>96</v>
      </c>
      <c r="G418" t="s">
        <v>558</v>
      </c>
      <c r="I418" t="s">
        <v>559</v>
      </c>
      <c r="J418">
        <v>9.3800000000000008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</row>
    <row r="419" spans="1:36" x14ac:dyDescent="0.2">
      <c r="A419" t="s">
        <v>100</v>
      </c>
      <c r="B419" t="s">
        <v>588</v>
      </c>
      <c r="C419" t="s">
        <v>102</v>
      </c>
      <c r="D419" t="s">
        <v>498</v>
      </c>
      <c r="E419" t="s">
        <v>96</v>
      </c>
      <c r="G419" t="s">
        <v>558</v>
      </c>
      <c r="I419" t="s">
        <v>559</v>
      </c>
      <c r="J419">
        <v>9.3800000000000008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</row>
    <row r="420" spans="1:36" x14ac:dyDescent="0.2">
      <c r="A420" t="s">
        <v>100</v>
      </c>
      <c r="B420" t="s">
        <v>589</v>
      </c>
      <c r="C420" t="s">
        <v>102</v>
      </c>
      <c r="D420" t="s">
        <v>498</v>
      </c>
      <c r="E420" t="s">
        <v>96</v>
      </c>
      <c r="G420" t="s">
        <v>558</v>
      </c>
      <c r="I420" t="s">
        <v>559</v>
      </c>
      <c r="J420">
        <v>9.3800000000000008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</row>
    <row r="421" spans="1:36" x14ac:dyDescent="0.2">
      <c r="A421" t="s">
        <v>100</v>
      </c>
      <c r="B421" t="s">
        <v>590</v>
      </c>
      <c r="C421" t="s">
        <v>102</v>
      </c>
      <c r="D421" t="s">
        <v>498</v>
      </c>
      <c r="E421" t="s">
        <v>96</v>
      </c>
      <c r="G421" t="s">
        <v>558</v>
      </c>
      <c r="I421" t="s">
        <v>559</v>
      </c>
      <c r="J421">
        <v>9.3800000000000008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</row>
    <row r="422" spans="1:36" x14ac:dyDescent="0.2">
      <c r="A422" t="s">
        <v>100</v>
      </c>
      <c r="B422" t="s">
        <v>591</v>
      </c>
      <c r="C422" t="s">
        <v>102</v>
      </c>
      <c r="D422" t="s">
        <v>498</v>
      </c>
      <c r="E422" t="s">
        <v>96</v>
      </c>
      <c r="G422" t="s">
        <v>558</v>
      </c>
      <c r="I422" t="s">
        <v>559</v>
      </c>
      <c r="J422">
        <v>9.3800000000000008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</row>
    <row r="423" spans="1:36" x14ac:dyDescent="0.2">
      <c r="A423" t="s">
        <v>100</v>
      </c>
      <c r="B423" t="s">
        <v>592</v>
      </c>
      <c r="C423" t="s">
        <v>102</v>
      </c>
      <c r="D423" t="s">
        <v>498</v>
      </c>
      <c r="E423" t="s">
        <v>96</v>
      </c>
      <c r="G423" t="s">
        <v>558</v>
      </c>
      <c r="I423" t="s">
        <v>559</v>
      </c>
      <c r="J423">
        <v>9.3800000000000008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</row>
    <row r="424" spans="1:36" x14ac:dyDescent="0.2">
      <c r="A424" t="s">
        <v>100</v>
      </c>
      <c r="B424" t="s">
        <v>593</v>
      </c>
      <c r="C424" t="s">
        <v>102</v>
      </c>
      <c r="D424" t="s">
        <v>498</v>
      </c>
      <c r="E424" t="s">
        <v>96</v>
      </c>
      <c r="G424" t="s">
        <v>558</v>
      </c>
      <c r="I424" t="s">
        <v>559</v>
      </c>
      <c r="J424">
        <v>1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</row>
    <row r="425" spans="1:36" x14ac:dyDescent="0.2">
      <c r="A425" t="s">
        <v>100</v>
      </c>
      <c r="B425" t="s">
        <v>594</v>
      </c>
      <c r="C425" t="s">
        <v>102</v>
      </c>
      <c r="D425" t="s">
        <v>498</v>
      </c>
      <c r="E425" t="s">
        <v>96</v>
      </c>
      <c r="G425" t="s">
        <v>558</v>
      </c>
      <c r="I425" t="s">
        <v>559</v>
      </c>
      <c r="J425">
        <v>9.3800000000000008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</row>
    <row r="426" spans="1:36" x14ac:dyDescent="0.2">
      <c r="A426" t="s">
        <v>100</v>
      </c>
      <c r="B426" t="s">
        <v>595</v>
      </c>
      <c r="C426" t="s">
        <v>102</v>
      </c>
      <c r="D426" t="s">
        <v>498</v>
      </c>
      <c r="E426" t="s">
        <v>96</v>
      </c>
      <c r="G426" t="s">
        <v>558</v>
      </c>
      <c r="I426" t="s">
        <v>559</v>
      </c>
      <c r="J426">
        <v>9.3800000000000008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</row>
    <row r="427" spans="1:36" x14ac:dyDescent="0.2">
      <c r="A427" t="s">
        <v>100</v>
      </c>
      <c r="B427" t="s">
        <v>596</v>
      </c>
      <c r="C427" t="s">
        <v>102</v>
      </c>
      <c r="D427" t="s">
        <v>498</v>
      </c>
      <c r="E427" t="s">
        <v>96</v>
      </c>
      <c r="G427" t="s">
        <v>558</v>
      </c>
      <c r="I427" t="s">
        <v>559</v>
      </c>
      <c r="J427">
        <v>9.3800000000000008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</row>
    <row r="428" spans="1:36" x14ac:dyDescent="0.2">
      <c r="A428" t="s">
        <v>100</v>
      </c>
      <c r="B428" t="s">
        <v>597</v>
      </c>
      <c r="C428" t="s">
        <v>102</v>
      </c>
      <c r="D428" t="s">
        <v>498</v>
      </c>
      <c r="E428" t="s">
        <v>96</v>
      </c>
      <c r="G428" t="s">
        <v>558</v>
      </c>
      <c r="I428" t="s">
        <v>559</v>
      </c>
      <c r="J428">
        <v>9.3800000000000008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</row>
    <row r="429" spans="1:36" x14ac:dyDescent="0.2">
      <c r="A429" t="s">
        <v>100</v>
      </c>
      <c r="B429" t="s">
        <v>598</v>
      </c>
      <c r="C429" t="s">
        <v>102</v>
      </c>
      <c r="D429" t="s">
        <v>498</v>
      </c>
      <c r="E429" t="s">
        <v>96</v>
      </c>
      <c r="G429" t="s">
        <v>558</v>
      </c>
      <c r="I429" t="s">
        <v>559</v>
      </c>
      <c r="J429">
        <v>9.3800000000000008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</row>
    <row r="430" spans="1:36" x14ac:dyDescent="0.2">
      <c r="A430" t="s">
        <v>100</v>
      </c>
      <c r="B430" t="s">
        <v>599</v>
      </c>
      <c r="C430" t="s">
        <v>102</v>
      </c>
      <c r="D430" t="s">
        <v>498</v>
      </c>
      <c r="E430" t="s">
        <v>96</v>
      </c>
      <c r="G430" t="s">
        <v>558</v>
      </c>
      <c r="I430" t="s">
        <v>559</v>
      </c>
      <c r="J430">
        <v>9.3800000000000008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</row>
    <row r="431" spans="1:36" x14ac:dyDescent="0.2">
      <c r="A431" t="s">
        <v>100</v>
      </c>
      <c r="B431" t="s">
        <v>600</v>
      </c>
      <c r="C431" t="s">
        <v>102</v>
      </c>
      <c r="D431" t="s">
        <v>498</v>
      </c>
      <c r="E431" t="s">
        <v>96</v>
      </c>
      <c r="G431" t="s">
        <v>558</v>
      </c>
      <c r="I431" t="s">
        <v>559</v>
      </c>
      <c r="J431">
        <v>9.3800000000000008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</row>
    <row r="432" spans="1:36" x14ac:dyDescent="0.2">
      <c r="A432" t="s">
        <v>100</v>
      </c>
      <c r="B432" t="s">
        <v>601</v>
      </c>
      <c r="C432" t="s">
        <v>102</v>
      </c>
      <c r="D432" t="s">
        <v>498</v>
      </c>
      <c r="E432" t="s">
        <v>96</v>
      </c>
      <c r="G432" t="s">
        <v>558</v>
      </c>
      <c r="I432" t="s">
        <v>559</v>
      </c>
      <c r="J432">
        <v>9.3800000000000008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</row>
    <row r="433" spans="1:36" x14ac:dyDescent="0.2">
      <c r="A433" t="s">
        <v>100</v>
      </c>
      <c r="B433" t="s">
        <v>602</v>
      </c>
      <c r="C433" t="s">
        <v>102</v>
      </c>
      <c r="D433" t="s">
        <v>498</v>
      </c>
      <c r="E433" t="s">
        <v>96</v>
      </c>
      <c r="G433" t="s">
        <v>558</v>
      </c>
      <c r="I433" t="s">
        <v>559</v>
      </c>
      <c r="J433">
        <v>9.3800000000000008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</row>
    <row r="434" spans="1:36" x14ac:dyDescent="0.2">
      <c r="A434" t="s">
        <v>100</v>
      </c>
      <c r="B434" t="s">
        <v>603</v>
      </c>
      <c r="C434" t="s">
        <v>102</v>
      </c>
      <c r="D434" t="s">
        <v>498</v>
      </c>
      <c r="E434" t="s">
        <v>96</v>
      </c>
      <c r="G434" t="s">
        <v>558</v>
      </c>
      <c r="I434" t="s">
        <v>559</v>
      </c>
      <c r="J434">
        <v>9.3800000000000008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</row>
    <row r="435" spans="1:36" x14ac:dyDescent="0.2">
      <c r="A435" t="s">
        <v>100</v>
      </c>
      <c r="B435" t="s">
        <v>604</v>
      </c>
      <c r="C435" t="s">
        <v>102</v>
      </c>
      <c r="D435" t="s">
        <v>498</v>
      </c>
      <c r="E435" t="s">
        <v>96</v>
      </c>
      <c r="G435" t="s">
        <v>558</v>
      </c>
      <c r="I435" t="s">
        <v>559</v>
      </c>
      <c r="J435">
        <v>9.3800000000000008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</row>
    <row r="436" spans="1:36" x14ac:dyDescent="0.2">
      <c r="A436" t="s">
        <v>100</v>
      </c>
      <c r="B436" t="s">
        <v>605</v>
      </c>
      <c r="C436" t="s">
        <v>102</v>
      </c>
      <c r="D436" t="s">
        <v>498</v>
      </c>
      <c r="E436" t="s">
        <v>96</v>
      </c>
      <c r="G436" t="s">
        <v>558</v>
      </c>
      <c r="I436" t="s">
        <v>559</v>
      </c>
      <c r="J436">
        <v>9.3800000000000008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</row>
    <row r="437" spans="1:36" x14ac:dyDescent="0.2">
      <c r="A437" t="s">
        <v>100</v>
      </c>
      <c r="B437" t="s">
        <v>606</v>
      </c>
      <c r="C437" t="s">
        <v>102</v>
      </c>
      <c r="D437" t="s">
        <v>498</v>
      </c>
      <c r="E437" t="s">
        <v>96</v>
      </c>
      <c r="G437" t="s">
        <v>558</v>
      </c>
      <c r="I437" t="s">
        <v>559</v>
      </c>
      <c r="J437">
        <v>9.3800000000000008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</row>
    <row r="438" spans="1:36" x14ac:dyDescent="0.2">
      <c r="A438" t="s">
        <v>100</v>
      </c>
      <c r="B438" t="s">
        <v>607</v>
      </c>
      <c r="C438" t="s">
        <v>102</v>
      </c>
      <c r="D438" t="s">
        <v>498</v>
      </c>
      <c r="E438" t="s">
        <v>96</v>
      </c>
      <c r="G438" t="s">
        <v>558</v>
      </c>
      <c r="I438" t="s">
        <v>559</v>
      </c>
      <c r="J438">
        <v>9.3800000000000008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</row>
    <row r="439" spans="1:36" x14ac:dyDescent="0.2">
      <c r="A439" t="s">
        <v>100</v>
      </c>
      <c r="B439" t="s">
        <v>608</v>
      </c>
      <c r="C439" t="s">
        <v>102</v>
      </c>
      <c r="D439" t="s">
        <v>498</v>
      </c>
      <c r="E439" t="s">
        <v>96</v>
      </c>
      <c r="G439" t="s">
        <v>558</v>
      </c>
      <c r="I439" t="s">
        <v>559</v>
      </c>
      <c r="J439">
        <v>9.3800000000000008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</row>
    <row r="440" spans="1:36" x14ac:dyDescent="0.2">
      <c r="A440" t="s">
        <v>100</v>
      </c>
      <c r="B440" t="s">
        <v>609</v>
      </c>
      <c r="C440" t="s">
        <v>102</v>
      </c>
      <c r="D440" t="s">
        <v>498</v>
      </c>
      <c r="E440" t="s">
        <v>96</v>
      </c>
      <c r="G440" t="s">
        <v>558</v>
      </c>
      <c r="I440" t="s">
        <v>559</v>
      </c>
      <c r="J440">
        <v>9.3800000000000008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</row>
    <row r="441" spans="1:36" x14ac:dyDescent="0.2">
      <c r="A441" t="s">
        <v>100</v>
      </c>
      <c r="B441" t="s">
        <v>610</v>
      </c>
      <c r="C441" t="s">
        <v>102</v>
      </c>
      <c r="D441" t="s">
        <v>498</v>
      </c>
      <c r="E441" t="s">
        <v>96</v>
      </c>
      <c r="G441" t="s">
        <v>558</v>
      </c>
      <c r="I441" t="s">
        <v>559</v>
      </c>
      <c r="J441">
        <v>9.3800000000000008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</row>
    <row r="442" spans="1:36" x14ac:dyDescent="0.2">
      <c r="A442" t="s">
        <v>100</v>
      </c>
      <c r="B442" t="s">
        <v>611</v>
      </c>
      <c r="C442" t="s">
        <v>102</v>
      </c>
      <c r="D442" t="s">
        <v>498</v>
      </c>
      <c r="E442" t="s">
        <v>96</v>
      </c>
      <c r="G442" t="s">
        <v>558</v>
      </c>
      <c r="I442" t="s">
        <v>559</v>
      </c>
      <c r="J442">
        <v>1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</row>
    <row r="443" spans="1:36" x14ac:dyDescent="0.2">
      <c r="A443" t="s">
        <v>100</v>
      </c>
      <c r="B443" t="s">
        <v>612</v>
      </c>
      <c r="C443" t="s">
        <v>102</v>
      </c>
      <c r="D443" t="s">
        <v>498</v>
      </c>
      <c r="E443" t="s">
        <v>96</v>
      </c>
      <c r="G443" t="s">
        <v>558</v>
      </c>
      <c r="I443" t="s">
        <v>559</v>
      </c>
      <c r="J443">
        <v>9.3800000000000008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</row>
    <row r="444" spans="1:36" x14ac:dyDescent="0.2">
      <c r="A444" t="s">
        <v>100</v>
      </c>
      <c r="B444" t="s">
        <v>613</v>
      </c>
      <c r="C444" t="s">
        <v>102</v>
      </c>
      <c r="D444" t="s">
        <v>498</v>
      </c>
      <c r="E444" t="s">
        <v>96</v>
      </c>
      <c r="G444" t="s">
        <v>558</v>
      </c>
      <c r="I444" t="s">
        <v>559</v>
      </c>
      <c r="J444">
        <v>9.3800000000000008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</row>
    <row r="445" spans="1:36" x14ac:dyDescent="0.2">
      <c r="A445" t="s">
        <v>100</v>
      </c>
      <c r="B445" t="s">
        <v>614</v>
      </c>
      <c r="C445" t="s">
        <v>102</v>
      </c>
      <c r="D445" t="s">
        <v>498</v>
      </c>
      <c r="E445" t="s">
        <v>96</v>
      </c>
      <c r="G445" t="s">
        <v>558</v>
      </c>
      <c r="I445" t="s">
        <v>559</v>
      </c>
      <c r="J445">
        <v>9.3800000000000008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</row>
    <row r="446" spans="1:36" x14ac:dyDescent="0.2">
      <c r="A446" t="s">
        <v>100</v>
      </c>
      <c r="B446" t="s">
        <v>615</v>
      </c>
      <c r="C446" t="s">
        <v>102</v>
      </c>
      <c r="D446" t="s">
        <v>498</v>
      </c>
      <c r="E446" t="s">
        <v>96</v>
      </c>
      <c r="G446" t="s">
        <v>558</v>
      </c>
      <c r="I446" t="s">
        <v>559</v>
      </c>
      <c r="J446">
        <v>9.3800000000000008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</row>
    <row r="447" spans="1:36" x14ac:dyDescent="0.2">
      <c r="A447" t="s">
        <v>100</v>
      </c>
      <c r="B447" t="s">
        <v>616</v>
      </c>
      <c r="C447" t="s">
        <v>102</v>
      </c>
      <c r="D447" t="s">
        <v>498</v>
      </c>
      <c r="E447" t="s">
        <v>96</v>
      </c>
      <c r="G447" t="s">
        <v>558</v>
      </c>
      <c r="I447" t="s">
        <v>559</v>
      </c>
      <c r="J447">
        <v>9.3800000000000008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</row>
    <row r="448" spans="1:36" x14ac:dyDescent="0.2">
      <c r="A448" t="s">
        <v>100</v>
      </c>
      <c r="B448" t="s">
        <v>617</v>
      </c>
      <c r="C448" t="s">
        <v>102</v>
      </c>
      <c r="D448" t="s">
        <v>498</v>
      </c>
      <c r="E448" t="s">
        <v>96</v>
      </c>
      <c r="G448" t="s">
        <v>558</v>
      </c>
      <c r="I448" t="s">
        <v>559</v>
      </c>
      <c r="J448">
        <v>9.3800000000000008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</row>
    <row r="449" spans="1:36" x14ac:dyDescent="0.2">
      <c r="A449" t="s">
        <v>100</v>
      </c>
      <c r="B449" t="s">
        <v>618</v>
      </c>
      <c r="C449" t="s">
        <v>102</v>
      </c>
      <c r="D449" t="s">
        <v>73</v>
      </c>
      <c r="E449" t="s">
        <v>96</v>
      </c>
      <c r="F449" t="s">
        <v>116</v>
      </c>
      <c r="G449" t="s">
        <v>558</v>
      </c>
      <c r="I449" t="s">
        <v>559</v>
      </c>
      <c r="J449">
        <v>5.63</v>
      </c>
      <c r="L449" t="s">
        <v>78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</row>
    <row r="450" spans="1:36" x14ac:dyDescent="0.2">
      <c r="A450" t="s">
        <v>100</v>
      </c>
      <c r="B450" t="s">
        <v>619</v>
      </c>
      <c r="C450" t="s">
        <v>102</v>
      </c>
      <c r="D450" t="s">
        <v>73</v>
      </c>
      <c r="E450" t="s">
        <v>96</v>
      </c>
      <c r="F450" t="s">
        <v>116</v>
      </c>
      <c r="G450" t="s">
        <v>558</v>
      </c>
      <c r="I450" t="s">
        <v>559</v>
      </c>
      <c r="J450">
        <v>2.81</v>
      </c>
      <c r="L450" t="s">
        <v>78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</row>
    <row r="451" spans="1:36" x14ac:dyDescent="0.2">
      <c r="A451" t="s">
        <v>100</v>
      </c>
      <c r="B451" t="s">
        <v>620</v>
      </c>
      <c r="C451" t="s">
        <v>102</v>
      </c>
      <c r="D451" t="s">
        <v>73</v>
      </c>
      <c r="E451" t="s">
        <v>96</v>
      </c>
      <c r="F451" t="s">
        <v>116</v>
      </c>
      <c r="G451" t="s">
        <v>558</v>
      </c>
      <c r="I451" t="s">
        <v>559</v>
      </c>
      <c r="J451">
        <v>5.63</v>
      </c>
      <c r="L451" t="s">
        <v>78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</row>
    <row r="452" spans="1:36" x14ac:dyDescent="0.2">
      <c r="A452" t="s">
        <v>100</v>
      </c>
      <c r="B452" t="s">
        <v>621</v>
      </c>
      <c r="C452" t="s">
        <v>102</v>
      </c>
      <c r="D452" t="s">
        <v>73</v>
      </c>
      <c r="E452" t="s">
        <v>96</v>
      </c>
      <c r="F452" t="s">
        <v>116</v>
      </c>
      <c r="G452" t="s">
        <v>558</v>
      </c>
      <c r="I452" t="s">
        <v>559</v>
      </c>
      <c r="J452">
        <v>5.63</v>
      </c>
      <c r="L452" t="s">
        <v>78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</row>
    <row r="453" spans="1:36" x14ac:dyDescent="0.2">
      <c r="A453" t="s">
        <v>100</v>
      </c>
      <c r="B453" t="s">
        <v>622</v>
      </c>
      <c r="C453" t="s">
        <v>102</v>
      </c>
      <c r="D453" t="s">
        <v>73</v>
      </c>
      <c r="E453" t="s">
        <v>96</v>
      </c>
      <c r="F453" t="s">
        <v>116</v>
      </c>
      <c r="G453" t="s">
        <v>558</v>
      </c>
      <c r="I453" t="s">
        <v>559</v>
      </c>
      <c r="J453">
        <v>5.63</v>
      </c>
      <c r="L453" t="s">
        <v>78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</row>
    <row r="454" spans="1:36" x14ac:dyDescent="0.2">
      <c r="A454" t="s">
        <v>100</v>
      </c>
      <c r="B454" t="s">
        <v>623</v>
      </c>
      <c r="C454" t="s">
        <v>102</v>
      </c>
      <c r="D454" t="s">
        <v>73</v>
      </c>
      <c r="E454" t="s">
        <v>96</v>
      </c>
      <c r="F454" t="s">
        <v>116</v>
      </c>
      <c r="G454" t="s">
        <v>558</v>
      </c>
      <c r="I454" t="s">
        <v>559</v>
      </c>
      <c r="J454">
        <v>5.63</v>
      </c>
      <c r="L454" t="s">
        <v>78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</row>
    <row r="455" spans="1:36" x14ac:dyDescent="0.2">
      <c r="A455" t="s">
        <v>100</v>
      </c>
      <c r="B455" t="s">
        <v>624</v>
      </c>
      <c r="C455" t="s">
        <v>102</v>
      </c>
      <c r="D455" t="s">
        <v>73</v>
      </c>
      <c r="E455" t="s">
        <v>96</v>
      </c>
      <c r="F455" t="s">
        <v>116</v>
      </c>
      <c r="G455" t="s">
        <v>558</v>
      </c>
      <c r="I455" t="s">
        <v>559</v>
      </c>
      <c r="J455">
        <v>1</v>
      </c>
      <c r="L455" t="s">
        <v>78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</row>
    <row r="456" spans="1:36" x14ac:dyDescent="0.2">
      <c r="A456" t="s">
        <v>100</v>
      </c>
      <c r="B456" t="s">
        <v>625</v>
      </c>
      <c r="C456" t="s">
        <v>102</v>
      </c>
      <c r="D456" t="s">
        <v>73</v>
      </c>
      <c r="E456" t="s">
        <v>96</v>
      </c>
      <c r="F456" t="s">
        <v>116</v>
      </c>
      <c r="G456" t="s">
        <v>558</v>
      </c>
      <c r="I456" t="s">
        <v>559</v>
      </c>
      <c r="J456">
        <v>5.63</v>
      </c>
      <c r="L456" t="s">
        <v>78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</row>
    <row r="457" spans="1:36" x14ac:dyDescent="0.2">
      <c r="A457" t="s">
        <v>100</v>
      </c>
      <c r="B457" t="s">
        <v>626</v>
      </c>
      <c r="C457" t="s">
        <v>102</v>
      </c>
      <c r="D457" t="s">
        <v>73</v>
      </c>
      <c r="E457" t="s">
        <v>96</v>
      </c>
      <c r="F457" t="s">
        <v>116</v>
      </c>
      <c r="G457" t="s">
        <v>558</v>
      </c>
      <c r="I457" t="s">
        <v>559</v>
      </c>
      <c r="J457">
        <v>5.63</v>
      </c>
      <c r="L457" t="s">
        <v>78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</row>
    <row r="458" spans="1:36" x14ac:dyDescent="0.2">
      <c r="A458" t="s">
        <v>100</v>
      </c>
      <c r="B458" t="s">
        <v>627</v>
      </c>
      <c r="C458" t="s">
        <v>102</v>
      </c>
      <c r="D458" t="s">
        <v>73</v>
      </c>
      <c r="E458" t="s">
        <v>96</v>
      </c>
      <c r="F458" t="s">
        <v>116</v>
      </c>
      <c r="G458" t="s">
        <v>558</v>
      </c>
      <c r="I458" t="s">
        <v>559</v>
      </c>
      <c r="J458">
        <v>5.63</v>
      </c>
      <c r="L458" t="s">
        <v>78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</row>
    <row r="459" spans="1:36" x14ac:dyDescent="0.2">
      <c r="A459" t="s">
        <v>100</v>
      </c>
      <c r="B459" t="s">
        <v>628</v>
      </c>
      <c r="C459" t="s">
        <v>102</v>
      </c>
      <c r="D459" t="s">
        <v>73</v>
      </c>
      <c r="E459" t="s">
        <v>96</v>
      </c>
      <c r="F459" t="s">
        <v>116</v>
      </c>
      <c r="G459" t="s">
        <v>558</v>
      </c>
      <c r="I459" t="s">
        <v>559</v>
      </c>
      <c r="J459">
        <v>5.63</v>
      </c>
      <c r="L459" t="s">
        <v>78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</row>
    <row r="460" spans="1:36" x14ac:dyDescent="0.2">
      <c r="A460" t="s">
        <v>100</v>
      </c>
      <c r="B460" t="s">
        <v>629</v>
      </c>
      <c r="C460" t="s">
        <v>102</v>
      </c>
      <c r="D460" t="s">
        <v>73</v>
      </c>
      <c r="E460" t="s">
        <v>96</v>
      </c>
      <c r="F460" t="s">
        <v>116</v>
      </c>
      <c r="G460" t="s">
        <v>558</v>
      </c>
      <c r="I460" t="s">
        <v>559</v>
      </c>
      <c r="J460">
        <v>5.63</v>
      </c>
      <c r="L460" t="s">
        <v>78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</row>
    <row r="461" spans="1:36" x14ac:dyDescent="0.2">
      <c r="A461" t="s">
        <v>100</v>
      </c>
      <c r="B461" t="s">
        <v>630</v>
      </c>
      <c r="C461" t="s">
        <v>102</v>
      </c>
      <c r="D461" t="s">
        <v>73</v>
      </c>
      <c r="E461" t="s">
        <v>96</v>
      </c>
      <c r="F461" t="s">
        <v>116</v>
      </c>
      <c r="G461" t="s">
        <v>558</v>
      </c>
      <c r="I461" t="s">
        <v>559</v>
      </c>
      <c r="J461">
        <v>5.63</v>
      </c>
      <c r="L461" t="s">
        <v>78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</row>
    <row r="462" spans="1:36" x14ac:dyDescent="0.2">
      <c r="A462" t="s">
        <v>100</v>
      </c>
      <c r="B462" t="s">
        <v>631</v>
      </c>
      <c r="C462" t="s">
        <v>102</v>
      </c>
      <c r="D462" t="s">
        <v>73</v>
      </c>
      <c r="E462" t="s">
        <v>96</v>
      </c>
      <c r="F462" t="s">
        <v>116</v>
      </c>
      <c r="G462" t="s">
        <v>558</v>
      </c>
      <c r="I462" t="s">
        <v>559</v>
      </c>
      <c r="J462">
        <v>1</v>
      </c>
      <c r="L462" t="s">
        <v>78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</row>
    <row r="463" spans="1:36" x14ac:dyDescent="0.2">
      <c r="A463" t="s">
        <v>100</v>
      </c>
      <c r="B463" t="s">
        <v>632</v>
      </c>
      <c r="C463" t="s">
        <v>102</v>
      </c>
      <c r="D463" t="s">
        <v>73</v>
      </c>
      <c r="E463" t="s">
        <v>96</v>
      </c>
      <c r="F463" t="s">
        <v>116</v>
      </c>
      <c r="G463" t="s">
        <v>558</v>
      </c>
      <c r="I463" t="s">
        <v>559</v>
      </c>
      <c r="J463">
        <v>5.63</v>
      </c>
      <c r="L463" t="s">
        <v>78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</row>
    <row r="464" spans="1:36" x14ac:dyDescent="0.2">
      <c r="A464" t="s">
        <v>100</v>
      </c>
      <c r="B464" t="s">
        <v>633</v>
      </c>
      <c r="C464" t="s">
        <v>102</v>
      </c>
      <c r="D464" t="s">
        <v>73</v>
      </c>
      <c r="E464" t="s">
        <v>96</v>
      </c>
      <c r="F464" t="s">
        <v>116</v>
      </c>
      <c r="G464" t="s">
        <v>558</v>
      </c>
      <c r="I464" t="s">
        <v>559</v>
      </c>
      <c r="J464">
        <v>5.63</v>
      </c>
      <c r="L464" t="s">
        <v>78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</row>
    <row r="465" spans="1:36" x14ac:dyDescent="0.2">
      <c r="A465" t="s">
        <v>100</v>
      </c>
      <c r="B465" t="s">
        <v>634</v>
      </c>
      <c r="C465" t="s">
        <v>102</v>
      </c>
      <c r="D465" t="s">
        <v>73</v>
      </c>
      <c r="E465" t="s">
        <v>96</v>
      </c>
      <c r="F465" t="s">
        <v>116</v>
      </c>
      <c r="G465" t="s">
        <v>558</v>
      </c>
      <c r="I465" t="s">
        <v>559</v>
      </c>
      <c r="J465">
        <v>5.63</v>
      </c>
      <c r="L465" t="s">
        <v>78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</row>
    <row r="466" spans="1:36" x14ac:dyDescent="0.2">
      <c r="A466" t="s">
        <v>100</v>
      </c>
      <c r="B466" t="s">
        <v>635</v>
      </c>
      <c r="C466" t="s">
        <v>102</v>
      </c>
      <c r="D466" t="s">
        <v>73</v>
      </c>
      <c r="E466" t="s">
        <v>96</v>
      </c>
      <c r="F466" t="s">
        <v>116</v>
      </c>
      <c r="G466" t="s">
        <v>558</v>
      </c>
      <c r="I466" t="s">
        <v>559</v>
      </c>
      <c r="J466">
        <v>5.63</v>
      </c>
      <c r="L466" t="s">
        <v>78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</row>
    <row r="467" spans="1:36" x14ac:dyDescent="0.2">
      <c r="A467" t="s">
        <v>100</v>
      </c>
      <c r="B467" t="s">
        <v>636</v>
      </c>
      <c r="C467" t="s">
        <v>102</v>
      </c>
      <c r="D467" t="s">
        <v>73</v>
      </c>
      <c r="E467" t="s">
        <v>96</v>
      </c>
      <c r="F467" t="s">
        <v>116</v>
      </c>
      <c r="G467" t="s">
        <v>558</v>
      </c>
      <c r="I467" t="s">
        <v>559</v>
      </c>
      <c r="J467">
        <v>5.63</v>
      </c>
      <c r="L467" t="s">
        <v>78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</row>
    <row r="468" spans="1:36" x14ac:dyDescent="0.2">
      <c r="A468" t="s">
        <v>100</v>
      </c>
      <c r="B468" t="s">
        <v>637</v>
      </c>
      <c r="C468" t="s">
        <v>102</v>
      </c>
      <c r="D468" t="s">
        <v>73</v>
      </c>
      <c r="E468" t="s">
        <v>96</v>
      </c>
      <c r="F468" t="s">
        <v>116</v>
      </c>
      <c r="G468" t="s">
        <v>558</v>
      </c>
      <c r="I468" t="s">
        <v>559</v>
      </c>
      <c r="J468">
        <v>5.63</v>
      </c>
      <c r="L468" t="s">
        <v>78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</row>
    <row r="469" spans="1:36" x14ac:dyDescent="0.2">
      <c r="A469" t="s">
        <v>100</v>
      </c>
      <c r="B469" t="s">
        <v>638</v>
      </c>
      <c r="C469" t="s">
        <v>102</v>
      </c>
      <c r="D469" t="s">
        <v>73</v>
      </c>
      <c r="E469" t="s">
        <v>96</v>
      </c>
      <c r="F469" t="s">
        <v>116</v>
      </c>
      <c r="G469" t="s">
        <v>558</v>
      </c>
      <c r="I469" t="s">
        <v>559</v>
      </c>
      <c r="J469">
        <v>5.63</v>
      </c>
      <c r="L469" t="s">
        <v>78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</row>
    <row r="470" spans="1:36" x14ac:dyDescent="0.2">
      <c r="A470" t="s">
        <v>100</v>
      </c>
      <c r="B470" t="s">
        <v>639</v>
      </c>
      <c r="C470" t="s">
        <v>102</v>
      </c>
      <c r="D470" t="s">
        <v>73</v>
      </c>
      <c r="E470" t="s">
        <v>96</v>
      </c>
      <c r="F470" t="s">
        <v>116</v>
      </c>
      <c r="G470" t="s">
        <v>558</v>
      </c>
      <c r="I470" t="s">
        <v>559</v>
      </c>
      <c r="J470">
        <v>5.63</v>
      </c>
      <c r="L470" t="s">
        <v>78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</row>
    <row r="471" spans="1:36" x14ac:dyDescent="0.2">
      <c r="A471" t="s">
        <v>100</v>
      </c>
      <c r="B471" t="s">
        <v>640</v>
      </c>
      <c r="C471" t="s">
        <v>102</v>
      </c>
      <c r="D471" t="s">
        <v>73</v>
      </c>
      <c r="E471" t="s">
        <v>96</v>
      </c>
      <c r="F471" t="s">
        <v>116</v>
      </c>
      <c r="G471" t="s">
        <v>558</v>
      </c>
      <c r="I471" t="s">
        <v>559</v>
      </c>
      <c r="J471">
        <v>5.63</v>
      </c>
      <c r="L471" t="s">
        <v>78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</row>
    <row r="472" spans="1:36" x14ac:dyDescent="0.2">
      <c r="A472" t="s">
        <v>100</v>
      </c>
      <c r="B472" t="s">
        <v>641</v>
      </c>
      <c r="C472" t="s">
        <v>102</v>
      </c>
      <c r="D472" t="s">
        <v>73</v>
      </c>
      <c r="E472" t="s">
        <v>96</v>
      </c>
      <c r="F472" t="s">
        <v>116</v>
      </c>
      <c r="G472" t="s">
        <v>558</v>
      </c>
      <c r="I472" t="s">
        <v>559</v>
      </c>
      <c r="J472">
        <v>5.63</v>
      </c>
      <c r="L472" t="s">
        <v>78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</row>
    <row r="473" spans="1:36" x14ac:dyDescent="0.2">
      <c r="A473" t="s">
        <v>100</v>
      </c>
      <c r="B473" t="s">
        <v>642</v>
      </c>
      <c r="C473" t="s">
        <v>102</v>
      </c>
      <c r="D473" t="s">
        <v>73</v>
      </c>
      <c r="E473" t="s">
        <v>96</v>
      </c>
      <c r="F473" t="s">
        <v>116</v>
      </c>
      <c r="G473" t="s">
        <v>558</v>
      </c>
      <c r="I473" t="s">
        <v>559</v>
      </c>
      <c r="J473">
        <v>5.63</v>
      </c>
      <c r="L473" t="s">
        <v>78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</row>
    <row r="474" spans="1:36" x14ac:dyDescent="0.2">
      <c r="A474" t="s">
        <v>100</v>
      </c>
      <c r="B474" t="s">
        <v>643</v>
      </c>
      <c r="C474" t="s">
        <v>102</v>
      </c>
      <c r="D474" t="s">
        <v>73</v>
      </c>
      <c r="E474" t="s">
        <v>96</v>
      </c>
      <c r="F474" t="s">
        <v>116</v>
      </c>
      <c r="G474" t="s">
        <v>558</v>
      </c>
      <c r="I474" t="s">
        <v>559</v>
      </c>
      <c r="J474">
        <v>5.63</v>
      </c>
      <c r="L474" t="s">
        <v>78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</row>
    <row r="475" spans="1:36" x14ac:dyDescent="0.2">
      <c r="A475" t="s">
        <v>100</v>
      </c>
      <c r="B475" t="s">
        <v>644</v>
      </c>
      <c r="C475" t="s">
        <v>102</v>
      </c>
      <c r="D475" t="s">
        <v>73</v>
      </c>
      <c r="E475" t="s">
        <v>96</v>
      </c>
      <c r="F475" t="s">
        <v>116</v>
      </c>
      <c r="G475" t="s">
        <v>558</v>
      </c>
      <c r="I475" t="s">
        <v>559</v>
      </c>
      <c r="J475">
        <v>5.63</v>
      </c>
      <c r="L475" t="s">
        <v>78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</row>
    <row r="476" spans="1:36" x14ac:dyDescent="0.2">
      <c r="A476" t="s">
        <v>100</v>
      </c>
      <c r="B476" t="s">
        <v>645</v>
      </c>
      <c r="C476" t="s">
        <v>102</v>
      </c>
      <c r="D476" t="s">
        <v>73</v>
      </c>
      <c r="E476" t="s">
        <v>96</v>
      </c>
      <c r="F476" t="s">
        <v>116</v>
      </c>
      <c r="G476" t="s">
        <v>558</v>
      </c>
      <c r="I476" t="s">
        <v>559</v>
      </c>
      <c r="J476">
        <v>1</v>
      </c>
      <c r="L476" t="s">
        <v>78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</row>
    <row r="477" spans="1:36" x14ac:dyDescent="0.2">
      <c r="A477" t="s">
        <v>100</v>
      </c>
      <c r="B477" t="s">
        <v>646</v>
      </c>
      <c r="C477" t="s">
        <v>102</v>
      </c>
      <c r="D477" t="s">
        <v>73</v>
      </c>
      <c r="E477" t="s">
        <v>96</v>
      </c>
      <c r="F477" t="s">
        <v>116</v>
      </c>
      <c r="G477" t="s">
        <v>558</v>
      </c>
      <c r="I477" t="s">
        <v>559</v>
      </c>
      <c r="J477">
        <v>5.63</v>
      </c>
      <c r="L477" t="s">
        <v>78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</row>
    <row r="478" spans="1:36" x14ac:dyDescent="0.2">
      <c r="A478" t="s">
        <v>100</v>
      </c>
      <c r="B478" t="s">
        <v>647</v>
      </c>
      <c r="C478" t="s">
        <v>102</v>
      </c>
      <c r="D478" t="s">
        <v>73</v>
      </c>
      <c r="E478" t="s">
        <v>96</v>
      </c>
      <c r="F478" t="s">
        <v>116</v>
      </c>
      <c r="G478" t="s">
        <v>558</v>
      </c>
      <c r="I478" t="s">
        <v>559</v>
      </c>
      <c r="J478">
        <v>5.63</v>
      </c>
      <c r="L478" t="s">
        <v>78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</row>
    <row r="479" spans="1:36" x14ac:dyDescent="0.2">
      <c r="A479" t="s">
        <v>100</v>
      </c>
      <c r="B479" t="s">
        <v>648</v>
      </c>
      <c r="C479" t="s">
        <v>102</v>
      </c>
      <c r="D479" t="s">
        <v>73</v>
      </c>
      <c r="E479" t="s">
        <v>96</v>
      </c>
      <c r="F479" t="s">
        <v>116</v>
      </c>
      <c r="G479" t="s">
        <v>558</v>
      </c>
      <c r="I479" t="s">
        <v>559</v>
      </c>
      <c r="J479">
        <v>5.63</v>
      </c>
      <c r="L479" t="s">
        <v>78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</row>
    <row r="480" spans="1:36" x14ac:dyDescent="0.2">
      <c r="A480" t="s">
        <v>100</v>
      </c>
      <c r="B480" t="s">
        <v>649</v>
      </c>
      <c r="C480" t="s">
        <v>102</v>
      </c>
      <c r="D480" t="s">
        <v>73</v>
      </c>
      <c r="E480" t="s">
        <v>96</v>
      </c>
      <c r="F480" t="s">
        <v>116</v>
      </c>
      <c r="G480" t="s">
        <v>558</v>
      </c>
      <c r="I480" t="s">
        <v>559</v>
      </c>
      <c r="J480">
        <v>5.63</v>
      </c>
      <c r="L480" t="s">
        <v>78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</row>
    <row r="481" spans="1:36" x14ac:dyDescent="0.2">
      <c r="A481" t="s">
        <v>100</v>
      </c>
      <c r="B481" t="s">
        <v>650</v>
      </c>
      <c r="C481" t="s">
        <v>102</v>
      </c>
      <c r="D481" t="s">
        <v>73</v>
      </c>
      <c r="E481" t="s">
        <v>96</v>
      </c>
      <c r="F481" t="s">
        <v>116</v>
      </c>
      <c r="G481" t="s">
        <v>558</v>
      </c>
      <c r="I481" t="s">
        <v>559</v>
      </c>
      <c r="J481">
        <v>3.38</v>
      </c>
      <c r="L481" t="s">
        <v>78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</row>
    <row r="482" spans="1:36" x14ac:dyDescent="0.2">
      <c r="A482" t="s">
        <v>100</v>
      </c>
      <c r="B482" t="s">
        <v>651</v>
      </c>
      <c r="C482" t="s">
        <v>102</v>
      </c>
      <c r="D482" t="s">
        <v>73</v>
      </c>
      <c r="E482" t="s">
        <v>96</v>
      </c>
      <c r="F482" t="s">
        <v>116</v>
      </c>
      <c r="G482" t="s">
        <v>558</v>
      </c>
      <c r="I482" t="s">
        <v>559</v>
      </c>
      <c r="J482">
        <v>5.63</v>
      </c>
      <c r="L482" t="s">
        <v>78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</row>
    <row r="483" spans="1:36" x14ac:dyDescent="0.2">
      <c r="A483" t="s">
        <v>100</v>
      </c>
      <c r="B483" t="s">
        <v>652</v>
      </c>
      <c r="C483" t="s">
        <v>102</v>
      </c>
      <c r="D483" t="s">
        <v>73</v>
      </c>
      <c r="E483" t="s">
        <v>96</v>
      </c>
      <c r="F483" t="s">
        <v>116</v>
      </c>
      <c r="G483" t="s">
        <v>558</v>
      </c>
      <c r="I483" t="s">
        <v>559</v>
      </c>
      <c r="J483">
        <v>5.63</v>
      </c>
      <c r="L483" t="s">
        <v>78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</row>
    <row r="484" spans="1:36" x14ac:dyDescent="0.2">
      <c r="A484" t="s">
        <v>100</v>
      </c>
      <c r="B484" t="s">
        <v>653</v>
      </c>
      <c r="C484" t="s">
        <v>102</v>
      </c>
      <c r="D484" t="s">
        <v>73</v>
      </c>
      <c r="E484" t="s">
        <v>96</v>
      </c>
      <c r="F484" t="s">
        <v>116</v>
      </c>
      <c r="G484" t="s">
        <v>558</v>
      </c>
      <c r="I484" t="s">
        <v>559</v>
      </c>
      <c r="J484">
        <v>5.63</v>
      </c>
      <c r="L484" t="s">
        <v>78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</row>
    <row r="485" spans="1:36" x14ac:dyDescent="0.2">
      <c r="A485" t="s">
        <v>100</v>
      </c>
      <c r="B485" t="s">
        <v>654</v>
      </c>
      <c r="C485" t="s">
        <v>102</v>
      </c>
      <c r="D485" t="s">
        <v>73</v>
      </c>
      <c r="E485" t="s">
        <v>96</v>
      </c>
      <c r="F485" t="s">
        <v>116</v>
      </c>
      <c r="G485" t="s">
        <v>558</v>
      </c>
      <c r="I485" t="s">
        <v>559</v>
      </c>
      <c r="J485">
        <v>5.63</v>
      </c>
      <c r="L485" t="s">
        <v>78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</row>
    <row r="486" spans="1:36" x14ac:dyDescent="0.2">
      <c r="A486" t="s">
        <v>100</v>
      </c>
      <c r="B486" t="s">
        <v>655</v>
      </c>
      <c r="C486" t="s">
        <v>102</v>
      </c>
      <c r="D486" t="s">
        <v>73</v>
      </c>
      <c r="E486" t="s">
        <v>96</v>
      </c>
      <c r="F486" t="s">
        <v>116</v>
      </c>
      <c r="G486" t="s">
        <v>558</v>
      </c>
      <c r="I486" t="s">
        <v>559</v>
      </c>
      <c r="J486">
        <v>1</v>
      </c>
      <c r="L486" t="s">
        <v>78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</row>
    <row r="487" spans="1:36" x14ac:dyDescent="0.2">
      <c r="A487" t="s">
        <v>100</v>
      </c>
      <c r="B487" t="s">
        <v>656</v>
      </c>
      <c r="C487" t="s">
        <v>102</v>
      </c>
      <c r="D487" t="s">
        <v>73</v>
      </c>
      <c r="E487" t="s">
        <v>96</v>
      </c>
      <c r="F487" t="s">
        <v>116</v>
      </c>
      <c r="G487" t="s">
        <v>558</v>
      </c>
      <c r="I487" t="s">
        <v>559</v>
      </c>
      <c r="J487">
        <v>1.1299999999999999</v>
      </c>
      <c r="L487" t="s">
        <v>78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</row>
    <row r="488" spans="1:36" x14ac:dyDescent="0.2">
      <c r="A488" t="s">
        <v>100</v>
      </c>
      <c r="B488" t="s">
        <v>657</v>
      </c>
      <c r="C488" t="s">
        <v>102</v>
      </c>
      <c r="D488" t="s">
        <v>73</v>
      </c>
      <c r="E488" t="s">
        <v>96</v>
      </c>
      <c r="F488" t="s">
        <v>116</v>
      </c>
      <c r="G488" t="s">
        <v>558</v>
      </c>
      <c r="I488" t="s">
        <v>559</v>
      </c>
      <c r="J488">
        <v>5.63</v>
      </c>
      <c r="L488" t="s">
        <v>78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</row>
    <row r="489" spans="1:36" x14ac:dyDescent="0.2">
      <c r="A489" t="s">
        <v>100</v>
      </c>
      <c r="B489" t="s">
        <v>658</v>
      </c>
      <c r="C489" t="s">
        <v>102</v>
      </c>
      <c r="D489" t="s">
        <v>73</v>
      </c>
      <c r="E489" t="s">
        <v>96</v>
      </c>
      <c r="F489" t="s">
        <v>116</v>
      </c>
      <c r="G489" t="s">
        <v>558</v>
      </c>
      <c r="I489" t="s">
        <v>559</v>
      </c>
      <c r="J489">
        <v>5.63</v>
      </c>
      <c r="L489" t="s">
        <v>78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</row>
    <row r="490" spans="1:36" x14ac:dyDescent="0.2">
      <c r="A490" t="s">
        <v>100</v>
      </c>
      <c r="B490" t="s">
        <v>659</v>
      </c>
      <c r="C490" t="s">
        <v>102</v>
      </c>
      <c r="D490" t="s">
        <v>73</v>
      </c>
      <c r="E490" t="s">
        <v>96</v>
      </c>
      <c r="F490" t="s">
        <v>116</v>
      </c>
      <c r="G490" t="s">
        <v>558</v>
      </c>
      <c r="I490" t="s">
        <v>559</v>
      </c>
      <c r="J490">
        <v>8.44</v>
      </c>
      <c r="L490" t="s">
        <v>78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</row>
    <row r="491" spans="1:36" x14ac:dyDescent="0.2">
      <c r="A491" t="s">
        <v>100</v>
      </c>
      <c r="B491" t="s">
        <v>660</v>
      </c>
      <c r="C491" t="s">
        <v>102</v>
      </c>
      <c r="D491" t="s">
        <v>73</v>
      </c>
      <c r="E491" t="s">
        <v>96</v>
      </c>
      <c r="F491" t="s">
        <v>116</v>
      </c>
      <c r="G491" t="s">
        <v>558</v>
      </c>
      <c r="I491" t="s">
        <v>559</v>
      </c>
      <c r="J491">
        <v>5.63</v>
      </c>
      <c r="L491" t="s">
        <v>78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</row>
    <row r="492" spans="1:36" x14ac:dyDescent="0.2">
      <c r="A492" t="s">
        <v>100</v>
      </c>
      <c r="B492" t="s">
        <v>661</v>
      </c>
      <c r="C492" t="s">
        <v>102</v>
      </c>
      <c r="D492" t="s">
        <v>73</v>
      </c>
      <c r="E492" t="s">
        <v>96</v>
      </c>
      <c r="F492" t="s">
        <v>116</v>
      </c>
      <c r="G492" t="s">
        <v>558</v>
      </c>
      <c r="I492" t="s">
        <v>559</v>
      </c>
      <c r="J492">
        <v>1.69</v>
      </c>
      <c r="L492" t="s">
        <v>78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</row>
    <row r="493" spans="1:36" x14ac:dyDescent="0.2">
      <c r="A493" t="s">
        <v>100</v>
      </c>
      <c r="B493" t="s">
        <v>662</v>
      </c>
      <c r="C493" t="s">
        <v>102</v>
      </c>
      <c r="D493" t="s">
        <v>73</v>
      </c>
      <c r="E493" t="s">
        <v>96</v>
      </c>
      <c r="F493" t="s">
        <v>116</v>
      </c>
      <c r="G493" t="s">
        <v>558</v>
      </c>
      <c r="I493" t="s">
        <v>559</v>
      </c>
      <c r="J493">
        <v>5.63</v>
      </c>
      <c r="L493" t="s">
        <v>78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</row>
    <row r="494" spans="1:36" x14ac:dyDescent="0.2">
      <c r="A494" t="s">
        <v>100</v>
      </c>
      <c r="B494" t="s">
        <v>663</v>
      </c>
      <c r="C494" t="s">
        <v>102</v>
      </c>
      <c r="D494" t="s">
        <v>73</v>
      </c>
      <c r="E494" t="s">
        <v>96</v>
      </c>
      <c r="F494" t="s">
        <v>116</v>
      </c>
      <c r="G494" t="s">
        <v>558</v>
      </c>
      <c r="I494" t="s">
        <v>559</v>
      </c>
      <c r="J494">
        <v>5.63</v>
      </c>
      <c r="L494" t="s">
        <v>78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</row>
    <row r="495" spans="1:36" x14ac:dyDescent="0.2">
      <c r="A495" t="s">
        <v>100</v>
      </c>
      <c r="B495" t="s">
        <v>664</v>
      </c>
      <c r="C495" t="s">
        <v>102</v>
      </c>
      <c r="D495" t="s">
        <v>73</v>
      </c>
      <c r="E495" t="s">
        <v>96</v>
      </c>
      <c r="F495" t="s">
        <v>116</v>
      </c>
      <c r="G495" t="s">
        <v>558</v>
      </c>
      <c r="I495" t="s">
        <v>559</v>
      </c>
      <c r="J495">
        <v>5.63</v>
      </c>
      <c r="L495" t="s">
        <v>78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</row>
    <row r="496" spans="1:36" x14ac:dyDescent="0.2">
      <c r="A496" t="s">
        <v>100</v>
      </c>
      <c r="B496" t="s">
        <v>665</v>
      </c>
      <c r="C496" t="s">
        <v>102</v>
      </c>
      <c r="D496" t="s">
        <v>73</v>
      </c>
      <c r="E496" t="s">
        <v>96</v>
      </c>
      <c r="F496" t="s">
        <v>116</v>
      </c>
      <c r="G496" t="s">
        <v>558</v>
      </c>
      <c r="I496" t="s">
        <v>559</v>
      </c>
      <c r="J496">
        <v>5.63</v>
      </c>
      <c r="L496" t="s">
        <v>78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</row>
    <row r="497" spans="1:36" x14ac:dyDescent="0.2">
      <c r="A497" t="s">
        <v>100</v>
      </c>
      <c r="B497" t="s">
        <v>666</v>
      </c>
      <c r="C497" t="s">
        <v>102</v>
      </c>
      <c r="D497" t="s">
        <v>73</v>
      </c>
      <c r="E497" t="s">
        <v>96</v>
      </c>
      <c r="F497" t="s">
        <v>116</v>
      </c>
      <c r="G497" t="s">
        <v>558</v>
      </c>
      <c r="I497" t="s">
        <v>559</v>
      </c>
      <c r="J497">
        <v>5.63</v>
      </c>
      <c r="L497" t="s">
        <v>78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</row>
    <row r="498" spans="1:36" x14ac:dyDescent="0.2">
      <c r="A498" t="s">
        <v>100</v>
      </c>
      <c r="B498" t="s">
        <v>667</v>
      </c>
      <c r="C498" t="s">
        <v>102</v>
      </c>
      <c r="D498" t="s">
        <v>73</v>
      </c>
      <c r="E498" t="s">
        <v>96</v>
      </c>
      <c r="F498" t="s">
        <v>116</v>
      </c>
      <c r="G498" t="s">
        <v>558</v>
      </c>
      <c r="I498" t="s">
        <v>559</v>
      </c>
      <c r="J498">
        <v>5.63</v>
      </c>
      <c r="L498" t="s">
        <v>78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</row>
    <row r="499" spans="1:36" x14ac:dyDescent="0.2">
      <c r="A499" t="s">
        <v>100</v>
      </c>
      <c r="B499" t="s">
        <v>668</v>
      </c>
      <c r="C499" t="s">
        <v>102</v>
      </c>
      <c r="D499" t="s">
        <v>73</v>
      </c>
      <c r="E499" t="s">
        <v>96</v>
      </c>
      <c r="F499" t="s">
        <v>116</v>
      </c>
      <c r="G499" t="s">
        <v>558</v>
      </c>
      <c r="I499" t="s">
        <v>559</v>
      </c>
      <c r="J499">
        <v>5.63</v>
      </c>
      <c r="L499" t="s">
        <v>78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</row>
    <row r="500" spans="1:36" x14ac:dyDescent="0.2">
      <c r="A500" t="s">
        <v>100</v>
      </c>
      <c r="B500" t="s">
        <v>669</v>
      </c>
      <c r="C500" t="s">
        <v>102</v>
      </c>
      <c r="D500" t="s">
        <v>73</v>
      </c>
      <c r="E500" t="s">
        <v>96</v>
      </c>
      <c r="F500" t="s">
        <v>116</v>
      </c>
      <c r="G500" t="s">
        <v>558</v>
      </c>
      <c r="I500" t="s">
        <v>559</v>
      </c>
      <c r="J500">
        <v>5.63</v>
      </c>
      <c r="L500" t="s">
        <v>78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</row>
    <row r="501" spans="1:36" x14ac:dyDescent="0.2">
      <c r="A501" t="s">
        <v>100</v>
      </c>
      <c r="B501" t="s">
        <v>670</v>
      </c>
      <c r="C501" t="s">
        <v>102</v>
      </c>
      <c r="D501" t="s">
        <v>73</v>
      </c>
      <c r="E501" t="s">
        <v>96</v>
      </c>
      <c r="F501" t="s">
        <v>116</v>
      </c>
      <c r="G501" t="s">
        <v>558</v>
      </c>
      <c r="I501" t="s">
        <v>559</v>
      </c>
      <c r="J501">
        <v>5.63</v>
      </c>
      <c r="L501" t="s">
        <v>78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</row>
    <row r="502" spans="1:36" x14ac:dyDescent="0.2">
      <c r="A502" t="s">
        <v>100</v>
      </c>
      <c r="B502" t="s">
        <v>671</v>
      </c>
      <c r="C502" t="s">
        <v>102</v>
      </c>
      <c r="D502" t="s">
        <v>73</v>
      </c>
      <c r="E502" t="s">
        <v>96</v>
      </c>
      <c r="F502" t="s">
        <v>116</v>
      </c>
      <c r="G502" t="s">
        <v>558</v>
      </c>
      <c r="I502" t="s">
        <v>559</v>
      </c>
      <c r="J502">
        <v>5.63</v>
      </c>
      <c r="L502" t="s">
        <v>78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</row>
    <row r="503" spans="1:36" x14ac:dyDescent="0.2">
      <c r="A503" t="s">
        <v>100</v>
      </c>
      <c r="B503" t="s">
        <v>672</v>
      </c>
      <c r="C503" t="s">
        <v>102</v>
      </c>
      <c r="D503" t="s">
        <v>73</v>
      </c>
      <c r="E503" t="s">
        <v>96</v>
      </c>
      <c r="F503" t="s">
        <v>141</v>
      </c>
      <c r="G503" t="s">
        <v>558</v>
      </c>
      <c r="I503" t="s">
        <v>559</v>
      </c>
      <c r="J503">
        <v>5.63</v>
      </c>
      <c r="L503" t="s">
        <v>78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</row>
    <row r="504" spans="1:36" x14ac:dyDescent="0.2">
      <c r="A504" t="s">
        <v>100</v>
      </c>
      <c r="B504" t="s">
        <v>673</v>
      </c>
      <c r="C504" t="s">
        <v>102</v>
      </c>
      <c r="D504" t="s">
        <v>73</v>
      </c>
      <c r="E504" t="s">
        <v>96</v>
      </c>
      <c r="F504" t="s">
        <v>116</v>
      </c>
      <c r="G504" t="s">
        <v>558</v>
      </c>
      <c r="I504" t="s">
        <v>559</v>
      </c>
      <c r="J504">
        <v>5.63</v>
      </c>
      <c r="L504" t="s">
        <v>78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</row>
    <row r="505" spans="1:36" x14ac:dyDescent="0.2">
      <c r="A505" t="s">
        <v>100</v>
      </c>
      <c r="B505" t="s">
        <v>674</v>
      </c>
      <c r="C505" t="s">
        <v>102</v>
      </c>
      <c r="D505" t="s">
        <v>73</v>
      </c>
      <c r="E505" t="s">
        <v>96</v>
      </c>
      <c r="F505" t="s">
        <v>116</v>
      </c>
      <c r="G505" t="s">
        <v>558</v>
      </c>
      <c r="I505" t="s">
        <v>559</v>
      </c>
      <c r="J505">
        <v>5.63</v>
      </c>
      <c r="L505" t="s">
        <v>78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</row>
    <row r="506" spans="1:36" x14ac:dyDescent="0.2">
      <c r="A506" t="s">
        <v>100</v>
      </c>
      <c r="B506" t="s">
        <v>675</v>
      </c>
      <c r="C506" t="s">
        <v>102</v>
      </c>
      <c r="D506" t="s">
        <v>73</v>
      </c>
      <c r="E506" t="s">
        <v>96</v>
      </c>
      <c r="F506" t="s">
        <v>116</v>
      </c>
      <c r="G506" t="s">
        <v>558</v>
      </c>
      <c r="I506" t="s">
        <v>559</v>
      </c>
      <c r="J506">
        <v>5.63</v>
      </c>
      <c r="L506" t="s">
        <v>78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</row>
    <row r="507" spans="1:36" x14ac:dyDescent="0.2">
      <c r="A507" t="s">
        <v>100</v>
      </c>
      <c r="B507" t="s">
        <v>676</v>
      </c>
      <c r="C507" t="s">
        <v>102</v>
      </c>
      <c r="D507" t="s">
        <v>73</v>
      </c>
      <c r="E507" t="s">
        <v>96</v>
      </c>
      <c r="F507" t="s">
        <v>116</v>
      </c>
      <c r="G507" t="s">
        <v>558</v>
      </c>
      <c r="I507" t="s">
        <v>559</v>
      </c>
      <c r="J507">
        <v>5.63</v>
      </c>
      <c r="L507" t="s">
        <v>78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</row>
    <row r="508" spans="1:36" x14ac:dyDescent="0.2">
      <c r="A508" t="s">
        <v>100</v>
      </c>
      <c r="B508" t="s">
        <v>677</v>
      </c>
      <c r="C508" t="s">
        <v>102</v>
      </c>
      <c r="D508" t="s">
        <v>73</v>
      </c>
      <c r="E508" t="s">
        <v>96</v>
      </c>
      <c r="F508" t="s">
        <v>116</v>
      </c>
      <c r="G508" t="s">
        <v>558</v>
      </c>
      <c r="I508" t="s">
        <v>559</v>
      </c>
      <c r="J508">
        <v>5.63</v>
      </c>
      <c r="L508" t="s">
        <v>78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</row>
    <row r="509" spans="1:36" x14ac:dyDescent="0.2">
      <c r="A509" t="s">
        <v>100</v>
      </c>
      <c r="B509" t="s">
        <v>678</v>
      </c>
      <c r="C509" t="s">
        <v>102</v>
      </c>
      <c r="D509" t="s">
        <v>73</v>
      </c>
      <c r="E509" t="s">
        <v>96</v>
      </c>
      <c r="F509" t="s">
        <v>116</v>
      </c>
      <c r="G509" t="s">
        <v>558</v>
      </c>
      <c r="I509" t="s">
        <v>559</v>
      </c>
      <c r="J509">
        <v>5.63</v>
      </c>
      <c r="L509" t="s">
        <v>78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</row>
    <row r="510" spans="1:36" x14ac:dyDescent="0.2">
      <c r="A510" t="s">
        <v>100</v>
      </c>
      <c r="B510" t="s">
        <v>679</v>
      </c>
      <c r="C510" t="s">
        <v>102</v>
      </c>
      <c r="D510" t="s">
        <v>73</v>
      </c>
      <c r="E510" t="s">
        <v>96</v>
      </c>
      <c r="F510" t="s">
        <v>116</v>
      </c>
      <c r="G510" t="s">
        <v>558</v>
      </c>
      <c r="I510" t="s">
        <v>559</v>
      </c>
      <c r="J510">
        <v>5.63</v>
      </c>
      <c r="L510" t="s">
        <v>78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</row>
    <row r="511" spans="1:36" x14ac:dyDescent="0.2">
      <c r="A511" t="s">
        <v>100</v>
      </c>
      <c r="B511" t="s">
        <v>680</v>
      </c>
      <c r="C511" t="s">
        <v>102</v>
      </c>
      <c r="D511" t="s">
        <v>73</v>
      </c>
      <c r="E511" t="s">
        <v>96</v>
      </c>
      <c r="F511" t="s">
        <v>116</v>
      </c>
      <c r="G511" t="s">
        <v>558</v>
      </c>
      <c r="I511" t="s">
        <v>559</v>
      </c>
      <c r="J511">
        <v>5.63</v>
      </c>
      <c r="L511" t="s">
        <v>78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</row>
    <row r="512" spans="1:36" x14ac:dyDescent="0.2">
      <c r="A512" t="s">
        <v>100</v>
      </c>
      <c r="B512" t="s">
        <v>681</v>
      </c>
      <c r="C512" t="s">
        <v>102</v>
      </c>
      <c r="D512" t="s">
        <v>73</v>
      </c>
      <c r="E512" t="s">
        <v>96</v>
      </c>
      <c r="F512" t="s">
        <v>116</v>
      </c>
      <c r="G512" t="s">
        <v>558</v>
      </c>
      <c r="I512" t="s">
        <v>559</v>
      </c>
      <c r="J512">
        <v>5.63</v>
      </c>
      <c r="L512" t="s">
        <v>78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</row>
    <row r="513" spans="1:36" x14ac:dyDescent="0.2">
      <c r="A513" t="s">
        <v>70</v>
      </c>
      <c r="B513" t="s">
        <v>682</v>
      </c>
      <c r="C513" t="s">
        <v>72</v>
      </c>
      <c r="D513" t="s">
        <v>73</v>
      </c>
      <c r="E513" t="s">
        <v>96</v>
      </c>
      <c r="F513" t="s">
        <v>116</v>
      </c>
      <c r="G513" t="s">
        <v>558</v>
      </c>
      <c r="I513" t="s">
        <v>559</v>
      </c>
      <c r="J513">
        <v>42</v>
      </c>
      <c r="K513" t="s">
        <v>77</v>
      </c>
      <c r="L513" t="s">
        <v>78</v>
      </c>
      <c r="M513">
        <v>17208</v>
      </c>
      <c r="N513">
        <v>197</v>
      </c>
      <c r="O513">
        <v>1.14E-2</v>
      </c>
      <c r="P513">
        <v>73.64</v>
      </c>
      <c r="Q513">
        <v>0.37</v>
      </c>
      <c r="R513">
        <v>0</v>
      </c>
      <c r="S513">
        <v>3</v>
      </c>
      <c r="T513">
        <v>232.85</v>
      </c>
      <c r="U513">
        <v>0.31630000000000003</v>
      </c>
      <c r="V513">
        <v>3.1619999999999999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</row>
    <row r="514" spans="1:36" x14ac:dyDescent="0.2">
      <c r="A514" t="s">
        <v>100</v>
      </c>
      <c r="B514" t="s">
        <v>683</v>
      </c>
      <c r="C514" t="s">
        <v>102</v>
      </c>
      <c r="D514" t="s">
        <v>73</v>
      </c>
      <c r="E514" t="s">
        <v>96</v>
      </c>
      <c r="F514" t="s">
        <v>116</v>
      </c>
      <c r="G514" t="s">
        <v>558</v>
      </c>
      <c r="I514" t="s">
        <v>559</v>
      </c>
      <c r="J514">
        <v>1.1299999999999999</v>
      </c>
      <c r="L514" t="s">
        <v>78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</row>
    <row r="515" spans="1:36" x14ac:dyDescent="0.2">
      <c r="A515" t="s">
        <v>100</v>
      </c>
      <c r="B515" t="s">
        <v>684</v>
      </c>
      <c r="C515" t="s">
        <v>102</v>
      </c>
      <c r="D515" t="s">
        <v>73</v>
      </c>
      <c r="E515" t="s">
        <v>96</v>
      </c>
      <c r="F515" t="s">
        <v>116</v>
      </c>
      <c r="G515" t="s">
        <v>558</v>
      </c>
      <c r="I515" t="s">
        <v>559</v>
      </c>
      <c r="J515">
        <v>5.63</v>
      </c>
      <c r="L515" t="s">
        <v>78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</row>
    <row r="516" spans="1:36" x14ac:dyDescent="0.2">
      <c r="A516" t="s">
        <v>100</v>
      </c>
      <c r="B516" t="s">
        <v>685</v>
      </c>
      <c r="C516" t="s">
        <v>102</v>
      </c>
      <c r="D516" t="s">
        <v>73</v>
      </c>
      <c r="E516" t="s">
        <v>96</v>
      </c>
      <c r="F516" t="s">
        <v>116</v>
      </c>
      <c r="G516" t="s">
        <v>558</v>
      </c>
      <c r="I516" t="s">
        <v>559</v>
      </c>
      <c r="J516">
        <v>5.63</v>
      </c>
      <c r="L516" t="s">
        <v>78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</row>
    <row r="517" spans="1:36" x14ac:dyDescent="0.2">
      <c r="A517" t="s">
        <v>100</v>
      </c>
      <c r="B517" t="s">
        <v>686</v>
      </c>
      <c r="C517" t="s">
        <v>102</v>
      </c>
      <c r="D517" t="s">
        <v>73</v>
      </c>
      <c r="E517" t="s">
        <v>96</v>
      </c>
      <c r="F517" t="s">
        <v>116</v>
      </c>
      <c r="G517" t="s">
        <v>558</v>
      </c>
      <c r="I517" t="s">
        <v>559</v>
      </c>
      <c r="J517">
        <v>5.63</v>
      </c>
      <c r="L517" t="s">
        <v>78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</row>
    <row r="518" spans="1:36" x14ac:dyDescent="0.2">
      <c r="A518" t="s">
        <v>100</v>
      </c>
      <c r="B518" t="s">
        <v>687</v>
      </c>
      <c r="C518" t="s">
        <v>102</v>
      </c>
      <c r="D518" t="s">
        <v>73</v>
      </c>
      <c r="E518" t="s">
        <v>96</v>
      </c>
      <c r="F518" t="s">
        <v>116</v>
      </c>
      <c r="G518" t="s">
        <v>558</v>
      </c>
      <c r="I518" t="s">
        <v>559</v>
      </c>
      <c r="J518">
        <v>5.63</v>
      </c>
      <c r="L518" t="s">
        <v>78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</row>
    <row r="519" spans="1:36" x14ac:dyDescent="0.2">
      <c r="A519" t="s">
        <v>100</v>
      </c>
      <c r="B519" t="s">
        <v>688</v>
      </c>
      <c r="C519" t="s">
        <v>102</v>
      </c>
      <c r="D519" t="s">
        <v>73</v>
      </c>
      <c r="E519" t="s">
        <v>96</v>
      </c>
      <c r="F519" t="s">
        <v>116</v>
      </c>
      <c r="G519" t="s">
        <v>558</v>
      </c>
      <c r="I519" t="s">
        <v>559</v>
      </c>
      <c r="J519">
        <v>5.63</v>
      </c>
      <c r="L519" t="s">
        <v>78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</row>
    <row r="520" spans="1:36" x14ac:dyDescent="0.2">
      <c r="A520" t="s">
        <v>100</v>
      </c>
      <c r="B520" t="s">
        <v>689</v>
      </c>
      <c r="C520" t="s">
        <v>102</v>
      </c>
      <c r="D520" t="s">
        <v>73</v>
      </c>
      <c r="E520" t="s">
        <v>96</v>
      </c>
      <c r="F520" t="s">
        <v>116</v>
      </c>
      <c r="G520" t="s">
        <v>558</v>
      </c>
      <c r="I520" t="s">
        <v>559</v>
      </c>
      <c r="J520">
        <v>5.63</v>
      </c>
      <c r="L520" t="s">
        <v>78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</row>
    <row r="521" spans="1:36" x14ac:dyDescent="0.2">
      <c r="A521" t="s">
        <v>690</v>
      </c>
      <c r="B521" t="s">
        <v>691</v>
      </c>
      <c r="C521" t="s">
        <v>692</v>
      </c>
      <c r="D521" t="s">
        <v>73</v>
      </c>
      <c r="E521" t="s">
        <v>74</v>
      </c>
      <c r="F521" t="s">
        <v>116</v>
      </c>
      <c r="G521" t="s">
        <v>693</v>
      </c>
      <c r="J521">
        <v>5</v>
      </c>
      <c r="L521" t="s">
        <v>78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</row>
    <row r="522" spans="1:36" x14ac:dyDescent="0.2">
      <c r="A522" t="s">
        <v>690</v>
      </c>
      <c r="B522" t="s">
        <v>691</v>
      </c>
      <c r="C522" t="s">
        <v>692</v>
      </c>
      <c r="D522" t="s">
        <v>73</v>
      </c>
      <c r="E522" t="s">
        <v>74</v>
      </c>
      <c r="F522" t="s">
        <v>116</v>
      </c>
      <c r="G522" t="s">
        <v>693</v>
      </c>
      <c r="J522">
        <v>5</v>
      </c>
      <c r="L522" t="s">
        <v>78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</row>
    <row r="523" spans="1:36" x14ac:dyDescent="0.2">
      <c r="A523" t="s">
        <v>690</v>
      </c>
      <c r="B523" t="s">
        <v>691</v>
      </c>
      <c r="C523" t="s">
        <v>692</v>
      </c>
      <c r="D523" t="s">
        <v>73</v>
      </c>
      <c r="E523" t="s">
        <v>74</v>
      </c>
      <c r="F523" t="s">
        <v>116</v>
      </c>
      <c r="G523" t="s">
        <v>693</v>
      </c>
      <c r="J523">
        <v>5</v>
      </c>
      <c r="L523" t="s">
        <v>78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</row>
    <row r="524" spans="1:36" x14ac:dyDescent="0.2">
      <c r="A524" t="s">
        <v>690</v>
      </c>
      <c r="B524" t="s">
        <v>691</v>
      </c>
      <c r="C524" t="s">
        <v>692</v>
      </c>
      <c r="D524" t="s">
        <v>73</v>
      </c>
      <c r="E524" t="s">
        <v>74</v>
      </c>
      <c r="F524" t="s">
        <v>116</v>
      </c>
      <c r="G524" t="s">
        <v>693</v>
      </c>
      <c r="J524">
        <v>5</v>
      </c>
      <c r="L524" t="s">
        <v>78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</row>
    <row r="525" spans="1:36" x14ac:dyDescent="0.2">
      <c r="A525" t="s">
        <v>690</v>
      </c>
      <c r="B525" t="s">
        <v>691</v>
      </c>
      <c r="C525" t="s">
        <v>692</v>
      </c>
      <c r="D525" t="s">
        <v>73</v>
      </c>
      <c r="E525" t="s">
        <v>74</v>
      </c>
      <c r="F525" t="s">
        <v>116</v>
      </c>
      <c r="G525" t="s">
        <v>693</v>
      </c>
      <c r="J525">
        <v>5</v>
      </c>
      <c r="L525" t="s">
        <v>78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</row>
    <row r="526" spans="1:36" x14ac:dyDescent="0.2">
      <c r="A526" t="s">
        <v>690</v>
      </c>
      <c r="B526" t="s">
        <v>691</v>
      </c>
      <c r="C526" t="s">
        <v>692</v>
      </c>
      <c r="D526" t="s">
        <v>73</v>
      </c>
      <c r="E526" t="s">
        <v>74</v>
      </c>
      <c r="F526" t="s">
        <v>116</v>
      </c>
      <c r="G526" t="s">
        <v>693</v>
      </c>
      <c r="J526">
        <v>5</v>
      </c>
      <c r="L526" t="s">
        <v>78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</row>
    <row r="527" spans="1:36" x14ac:dyDescent="0.2">
      <c r="A527" t="s">
        <v>690</v>
      </c>
      <c r="B527" t="s">
        <v>691</v>
      </c>
      <c r="C527" t="s">
        <v>692</v>
      </c>
      <c r="D527" t="s">
        <v>73</v>
      </c>
      <c r="E527" t="s">
        <v>74</v>
      </c>
      <c r="F527" t="s">
        <v>116</v>
      </c>
      <c r="G527" t="s">
        <v>693</v>
      </c>
      <c r="J527">
        <v>5</v>
      </c>
      <c r="L527" t="s">
        <v>78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</row>
    <row r="528" spans="1:36" x14ac:dyDescent="0.2">
      <c r="A528" t="s">
        <v>690</v>
      </c>
      <c r="B528" t="s">
        <v>691</v>
      </c>
      <c r="C528" t="s">
        <v>692</v>
      </c>
      <c r="D528" t="s">
        <v>73</v>
      </c>
      <c r="E528" t="s">
        <v>74</v>
      </c>
      <c r="F528" t="s">
        <v>116</v>
      </c>
      <c r="G528" t="s">
        <v>693</v>
      </c>
      <c r="J528">
        <v>5</v>
      </c>
      <c r="L528" t="s">
        <v>78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</row>
    <row r="529" spans="1:36" x14ac:dyDescent="0.2">
      <c r="A529" t="s">
        <v>690</v>
      </c>
      <c r="B529" t="s">
        <v>691</v>
      </c>
      <c r="C529" t="s">
        <v>692</v>
      </c>
      <c r="D529" t="s">
        <v>73</v>
      </c>
      <c r="E529" t="s">
        <v>74</v>
      </c>
      <c r="F529" t="s">
        <v>116</v>
      </c>
      <c r="G529" t="s">
        <v>693</v>
      </c>
      <c r="J529">
        <v>5</v>
      </c>
      <c r="L529" t="s">
        <v>78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</row>
    <row r="530" spans="1:36" x14ac:dyDescent="0.2">
      <c r="A530" t="s">
        <v>690</v>
      </c>
      <c r="B530" t="s">
        <v>691</v>
      </c>
      <c r="C530" t="s">
        <v>692</v>
      </c>
      <c r="D530" t="s">
        <v>73</v>
      </c>
      <c r="E530" t="s">
        <v>74</v>
      </c>
      <c r="F530" t="s">
        <v>116</v>
      </c>
      <c r="G530" t="s">
        <v>693</v>
      </c>
      <c r="J530">
        <v>5</v>
      </c>
      <c r="L530" t="s">
        <v>78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</row>
    <row r="531" spans="1:36" x14ac:dyDescent="0.2">
      <c r="A531" t="s">
        <v>690</v>
      </c>
      <c r="B531" t="s">
        <v>691</v>
      </c>
      <c r="C531" t="s">
        <v>692</v>
      </c>
      <c r="D531" t="s">
        <v>73</v>
      </c>
      <c r="E531" t="s">
        <v>74</v>
      </c>
      <c r="F531" t="s">
        <v>116</v>
      </c>
      <c r="G531" t="s">
        <v>693</v>
      </c>
      <c r="J531">
        <v>5</v>
      </c>
      <c r="L531" t="s">
        <v>78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</row>
    <row r="532" spans="1:36" x14ac:dyDescent="0.2">
      <c r="A532" t="s">
        <v>690</v>
      </c>
      <c r="B532" t="s">
        <v>691</v>
      </c>
      <c r="C532" t="s">
        <v>692</v>
      </c>
      <c r="D532" t="s">
        <v>73</v>
      </c>
      <c r="E532" t="s">
        <v>74</v>
      </c>
      <c r="F532" t="s">
        <v>116</v>
      </c>
      <c r="G532" t="s">
        <v>693</v>
      </c>
      <c r="J532">
        <v>5</v>
      </c>
      <c r="L532" t="s">
        <v>78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</row>
    <row r="533" spans="1:36" x14ac:dyDescent="0.2">
      <c r="A533" t="s">
        <v>690</v>
      </c>
      <c r="B533" t="s">
        <v>694</v>
      </c>
      <c r="C533" t="s">
        <v>692</v>
      </c>
      <c r="D533" t="s">
        <v>73</v>
      </c>
      <c r="E533" t="s">
        <v>96</v>
      </c>
      <c r="F533" t="s">
        <v>116</v>
      </c>
      <c r="G533" t="s">
        <v>693</v>
      </c>
      <c r="J533">
        <v>5</v>
      </c>
      <c r="L533" t="s">
        <v>78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</row>
    <row r="534" spans="1:36" x14ac:dyDescent="0.2">
      <c r="A534" t="s">
        <v>690</v>
      </c>
      <c r="B534" t="s">
        <v>694</v>
      </c>
      <c r="C534" t="s">
        <v>692</v>
      </c>
      <c r="D534" t="s">
        <v>73</v>
      </c>
      <c r="E534" t="s">
        <v>96</v>
      </c>
      <c r="F534" t="s">
        <v>116</v>
      </c>
      <c r="G534" t="s">
        <v>693</v>
      </c>
      <c r="J534">
        <v>5</v>
      </c>
      <c r="L534" t="s">
        <v>78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</row>
    <row r="535" spans="1:36" x14ac:dyDescent="0.2">
      <c r="A535" t="s">
        <v>690</v>
      </c>
      <c r="B535" t="s">
        <v>694</v>
      </c>
      <c r="C535" t="s">
        <v>692</v>
      </c>
      <c r="D535" t="s">
        <v>73</v>
      </c>
      <c r="E535" t="s">
        <v>96</v>
      </c>
      <c r="F535" t="s">
        <v>116</v>
      </c>
      <c r="G535" t="s">
        <v>693</v>
      </c>
      <c r="J535">
        <v>5</v>
      </c>
      <c r="L535" t="s">
        <v>78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</row>
    <row r="536" spans="1:36" x14ac:dyDescent="0.2">
      <c r="A536" t="s">
        <v>690</v>
      </c>
      <c r="B536" t="s">
        <v>694</v>
      </c>
      <c r="C536" t="s">
        <v>692</v>
      </c>
      <c r="D536" t="s">
        <v>73</v>
      </c>
      <c r="E536" t="s">
        <v>96</v>
      </c>
      <c r="F536" t="s">
        <v>116</v>
      </c>
      <c r="G536" t="s">
        <v>693</v>
      </c>
      <c r="J536">
        <v>5</v>
      </c>
      <c r="L536" t="s">
        <v>78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</row>
    <row r="537" spans="1:36" x14ac:dyDescent="0.2">
      <c r="A537" t="s">
        <v>690</v>
      </c>
      <c r="B537" t="s">
        <v>694</v>
      </c>
      <c r="C537" t="s">
        <v>692</v>
      </c>
      <c r="D537" t="s">
        <v>73</v>
      </c>
      <c r="E537" t="s">
        <v>96</v>
      </c>
      <c r="F537" t="s">
        <v>116</v>
      </c>
      <c r="G537" t="s">
        <v>693</v>
      </c>
      <c r="J537">
        <v>5</v>
      </c>
      <c r="L537" t="s">
        <v>78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</row>
    <row r="538" spans="1:36" x14ac:dyDescent="0.2">
      <c r="A538" t="s">
        <v>690</v>
      </c>
      <c r="B538" t="s">
        <v>694</v>
      </c>
      <c r="C538" t="s">
        <v>692</v>
      </c>
      <c r="D538" t="s">
        <v>73</v>
      </c>
      <c r="E538" t="s">
        <v>96</v>
      </c>
      <c r="F538" t="s">
        <v>116</v>
      </c>
      <c r="G538" t="s">
        <v>693</v>
      </c>
      <c r="J538">
        <v>5</v>
      </c>
      <c r="L538" t="s">
        <v>78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</row>
    <row r="539" spans="1:36" x14ac:dyDescent="0.2">
      <c r="A539" t="s">
        <v>690</v>
      </c>
      <c r="B539" t="s">
        <v>694</v>
      </c>
      <c r="C539" t="s">
        <v>692</v>
      </c>
      <c r="D539" t="s">
        <v>73</v>
      </c>
      <c r="E539" t="s">
        <v>96</v>
      </c>
      <c r="F539" t="s">
        <v>116</v>
      </c>
      <c r="G539" t="s">
        <v>693</v>
      </c>
      <c r="J539">
        <v>5</v>
      </c>
      <c r="L539" t="s">
        <v>78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</row>
    <row r="540" spans="1:36" x14ac:dyDescent="0.2">
      <c r="A540" t="s">
        <v>690</v>
      </c>
      <c r="B540" t="s">
        <v>694</v>
      </c>
      <c r="C540" t="s">
        <v>692</v>
      </c>
      <c r="D540" t="s">
        <v>73</v>
      </c>
      <c r="E540" t="s">
        <v>96</v>
      </c>
      <c r="F540" t="s">
        <v>116</v>
      </c>
      <c r="G540" t="s">
        <v>693</v>
      </c>
      <c r="J540">
        <v>5</v>
      </c>
      <c r="L540" t="s">
        <v>78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</row>
    <row r="541" spans="1:36" x14ac:dyDescent="0.2">
      <c r="A541" t="s">
        <v>690</v>
      </c>
      <c r="B541" t="s">
        <v>694</v>
      </c>
      <c r="C541" t="s">
        <v>692</v>
      </c>
      <c r="D541" t="s">
        <v>73</v>
      </c>
      <c r="E541" t="s">
        <v>96</v>
      </c>
      <c r="F541" t="s">
        <v>116</v>
      </c>
      <c r="G541" t="s">
        <v>693</v>
      </c>
      <c r="J541">
        <v>5</v>
      </c>
      <c r="L541" t="s">
        <v>78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</row>
    <row r="542" spans="1:36" x14ac:dyDescent="0.2">
      <c r="A542" t="s">
        <v>690</v>
      </c>
      <c r="B542" t="s">
        <v>694</v>
      </c>
      <c r="C542" t="s">
        <v>692</v>
      </c>
      <c r="D542" t="s">
        <v>73</v>
      </c>
      <c r="E542" t="s">
        <v>96</v>
      </c>
      <c r="F542" t="s">
        <v>116</v>
      </c>
      <c r="G542" t="s">
        <v>693</v>
      </c>
      <c r="J542">
        <v>5</v>
      </c>
      <c r="L542" t="s">
        <v>78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</row>
    <row r="543" spans="1:36" x14ac:dyDescent="0.2">
      <c r="A543" t="s">
        <v>690</v>
      </c>
      <c r="B543" t="s">
        <v>694</v>
      </c>
      <c r="C543" t="s">
        <v>692</v>
      </c>
      <c r="D543" t="s">
        <v>73</v>
      </c>
      <c r="E543" t="s">
        <v>96</v>
      </c>
      <c r="F543" t="s">
        <v>116</v>
      </c>
      <c r="G543" t="s">
        <v>693</v>
      </c>
      <c r="J543">
        <v>5</v>
      </c>
      <c r="L543" t="s">
        <v>78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</row>
    <row r="544" spans="1:36" x14ac:dyDescent="0.2">
      <c r="A544" t="s">
        <v>690</v>
      </c>
      <c r="B544" t="s">
        <v>694</v>
      </c>
      <c r="C544" t="s">
        <v>692</v>
      </c>
      <c r="D544" t="s">
        <v>73</v>
      </c>
      <c r="E544" t="s">
        <v>96</v>
      </c>
      <c r="F544" t="s">
        <v>116</v>
      </c>
      <c r="G544" t="s">
        <v>693</v>
      </c>
      <c r="J544">
        <v>5</v>
      </c>
      <c r="L544" t="s">
        <v>78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</row>
    <row r="545" spans="1:36" x14ac:dyDescent="0.2">
      <c r="A545" t="s">
        <v>690</v>
      </c>
      <c r="B545" t="s">
        <v>695</v>
      </c>
      <c r="C545" t="s">
        <v>692</v>
      </c>
      <c r="D545" t="s">
        <v>73</v>
      </c>
      <c r="E545" t="s">
        <v>74</v>
      </c>
      <c r="F545" t="s">
        <v>116</v>
      </c>
      <c r="G545" t="s">
        <v>693</v>
      </c>
      <c r="J545">
        <v>5</v>
      </c>
      <c r="L545" t="s">
        <v>78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</row>
    <row r="546" spans="1:36" x14ac:dyDescent="0.2">
      <c r="A546" t="s">
        <v>690</v>
      </c>
      <c r="B546" t="s">
        <v>696</v>
      </c>
      <c r="C546" t="s">
        <v>692</v>
      </c>
      <c r="D546" t="s">
        <v>73</v>
      </c>
      <c r="E546" t="s">
        <v>96</v>
      </c>
      <c r="F546" t="s">
        <v>116</v>
      </c>
      <c r="G546" t="s">
        <v>693</v>
      </c>
      <c r="J546">
        <v>5</v>
      </c>
      <c r="L546" t="s">
        <v>78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</row>
    <row r="547" spans="1:36" x14ac:dyDescent="0.2">
      <c r="A547" t="s">
        <v>690</v>
      </c>
      <c r="B547" t="s">
        <v>691</v>
      </c>
      <c r="C547" t="s">
        <v>692</v>
      </c>
      <c r="D547" t="s">
        <v>73</v>
      </c>
      <c r="E547" t="s">
        <v>74</v>
      </c>
      <c r="F547" t="s">
        <v>116</v>
      </c>
      <c r="G547" t="s">
        <v>693</v>
      </c>
      <c r="J547">
        <v>5</v>
      </c>
      <c r="L547" t="s">
        <v>78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</row>
    <row r="548" spans="1:36" x14ac:dyDescent="0.2">
      <c r="A548" t="s">
        <v>690</v>
      </c>
      <c r="B548" t="s">
        <v>694</v>
      </c>
      <c r="C548" t="s">
        <v>692</v>
      </c>
      <c r="D548" t="s">
        <v>73</v>
      </c>
      <c r="E548" t="s">
        <v>96</v>
      </c>
      <c r="F548" t="s">
        <v>116</v>
      </c>
      <c r="G548" t="s">
        <v>693</v>
      </c>
      <c r="J548">
        <v>5</v>
      </c>
      <c r="L548" t="s">
        <v>78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</row>
    <row r="549" spans="1:36" x14ac:dyDescent="0.2">
      <c r="A549" t="s">
        <v>100</v>
      </c>
      <c r="B549" t="s">
        <v>697</v>
      </c>
      <c r="C549" t="s">
        <v>102</v>
      </c>
      <c r="D549" t="s">
        <v>73</v>
      </c>
      <c r="E549" t="s">
        <v>96</v>
      </c>
      <c r="F549" t="s">
        <v>116</v>
      </c>
      <c r="G549" t="s">
        <v>693</v>
      </c>
      <c r="I549" t="s">
        <v>698</v>
      </c>
      <c r="J549">
        <v>2.81</v>
      </c>
      <c r="L549" t="s">
        <v>78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</row>
    <row r="550" spans="1:36" x14ac:dyDescent="0.2">
      <c r="A550" t="s">
        <v>100</v>
      </c>
      <c r="B550" t="s">
        <v>699</v>
      </c>
      <c r="C550" t="s">
        <v>102</v>
      </c>
      <c r="D550" t="s">
        <v>73</v>
      </c>
      <c r="E550" t="s">
        <v>96</v>
      </c>
      <c r="F550" t="s">
        <v>116</v>
      </c>
      <c r="G550" t="s">
        <v>693</v>
      </c>
      <c r="I550" t="s">
        <v>698</v>
      </c>
      <c r="J550">
        <v>2.81</v>
      </c>
      <c r="L550" t="s">
        <v>78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</row>
    <row r="551" spans="1:36" x14ac:dyDescent="0.2">
      <c r="A551" t="s">
        <v>100</v>
      </c>
      <c r="B551" t="s">
        <v>700</v>
      </c>
      <c r="C551" t="s">
        <v>102</v>
      </c>
      <c r="D551" t="s">
        <v>73</v>
      </c>
      <c r="E551" t="s">
        <v>96</v>
      </c>
      <c r="F551" t="s">
        <v>116</v>
      </c>
      <c r="G551" t="s">
        <v>693</v>
      </c>
      <c r="I551" t="s">
        <v>698</v>
      </c>
      <c r="J551">
        <v>2.81</v>
      </c>
      <c r="L551" t="s">
        <v>78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</row>
    <row r="552" spans="1:36" x14ac:dyDescent="0.2">
      <c r="A552" t="s">
        <v>100</v>
      </c>
      <c r="B552" t="s">
        <v>701</v>
      </c>
      <c r="C552" t="s">
        <v>102</v>
      </c>
      <c r="D552" t="s">
        <v>73</v>
      </c>
      <c r="E552" t="s">
        <v>96</v>
      </c>
      <c r="F552" t="s">
        <v>116</v>
      </c>
      <c r="G552" t="s">
        <v>693</v>
      </c>
      <c r="I552" t="s">
        <v>698</v>
      </c>
      <c r="J552">
        <v>2.81</v>
      </c>
      <c r="L552" t="s">
        <v>78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</row>
    <row r="553" spans="1:36" x14ac:dyDescent="0.2">
      <c r="A553" t="s">
        <v>100</v>
      </c>
      <c r="B553" t="s">
        <v>702</v>
      </c>
      <c r="C553" t="s">
        <v>102</v>
      </c>
      <c r="D553" t="s">
        <v>73</v>
      </c>
      <c r="E553" t="s">
        <v>96</v>
      </c>
      <c r="F553" t="s">
        <v>116</v>
      </c>
      <c r="G553" t="s">
        <v>693</v>
      </c>
      <c r="I553" t="s">
        <v>698</v>
      </c>
      <c r="J553">
        <v>2.81</v>
      </c>
      <c r="L553" t="s">
        <v>78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</row>
    <row r="554" spans="1:36" x14ac:dyDescent="0.2">
      <c r="A554" t="s">
        <v>100</v>
      </c>
      <c r="B554" t="s">
        <v>703</v>
      </c>
      <c r="C554" t="s">
        <v>102</v>
      </c>
      <c r="D554" t="s">
        <v>73</v>
      </c>
      <c r="E554" t="s">
        <v>96</v>
      </c>
      <c r="F554" t="s">
        <v>116</v>
      </c>
      <c r="G554" t="s">
        <v>693</v>
      </c>
      <c r="I554" t="s">
        <v>698</v>
      </c>
      <c r="J554">
        <v>2.81</v>
      </c>
      <c r="L554" t="s">
        <v>78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</row>
    <row r="555" spans="1:36" x14ac:dyDescent="0.2">
      <c r="A555" t="s">
        <v>100</v>
      </c>
      <c r="B555" t="s">
        <v>704</v>
      </c>
      <c r="C555" t="s">
        <v>102</v>
      </c>
      <c r="D555" t="s">
        <v>73</v>
      </c>
      <c r="E555" t="s">
        <v>96</v>
      </c>
      <c r="F555" t="s">
        <v>116</v>
      </c>
      <c r="G555" t="s">
        <v>693</v>
      </c>
      <c r="I555" t="s">
        <v>698</v>
      </c>
      <c r="J555">
        <v>2.81</v>
      </c>
      <c r="L555" t="s">
        <v>78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</row>
    <row r="556" spans="1:36" x14ac:dyDescent="0.2">
      <c r="A556" t="s">
        <v>100</v>
      </c>
      <c r="B556" t="s">
        <v>705</v>
      </c>
      <c r="C556" t="s">
        <v>102</v>
      </c>
      <c r="D556" t="s">
        <v>73</v>
      </c>
      <c r="E556" t="s">
        <v>96</v>
      </c>
      <c r="F556" t="s">
        <v>116</v>
      </c>
      <c r="G556" t="s">
        <v>693</v>
      </c>
      <c r="I556" t="s">
        <v>698</v>
      </c>
      <c r="J556">
        <v>2.81</v>
      </c>
      <c r="L556" t="s">
        <v>78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</row>
    <row r="557" spans="1:36" x14ac:dyDescent="0.2">
      <c r="A557" t="s">
        <v>100</v>
      </c>
      <c r="B557" t="s">
        <v>706</v>
      </c>
      <c r="C557" t="s">
        <v>102</v>
      </c>
      <c r="D557" t="s">
        <v>73</v>
      </c>
      <c r="E557" t="s">
        <v>96</v>
      </c>
      <c r="F557" t="s">
        <v>116</v>
      </c>
      <c r="G557" t="s">
        <v>693</v>
      </c>
      <c r="I557" t="s">
        <v>698</v>
      </c>
      <c r="J557">
        <v>2.81</v>
      </c>
      <c r="L557" t="s">
        <v>78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</row>
    <row r="558" spans="1:36" x14ac:dyDescent="0.2">
      <c r="A558" t="s">
        <v>100</v>
      </c>
      <c r="B558" t="s">
        <v>707</v>
      </c>
      <c r="C558" t="s">
        <v>102</v>
      </c>
      <c r="D558" t="s">
        <v>73</v>
      </c>
      <c r="E558" t="s">
        <v>96</v>
      </c>
      <c r="F558" t="s">
        <v>116</v>
      </c>
      <c r="G558" t="s">
        <v>693</v>
      </c>
      <c r="I558" t="s">
        <v>698</v>
      </c>
      <c r="J558">
        <v>2.81</v>
      </c>
      <c r="L558" t="s">
        <v>78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</row>
    <row r="559" spans="1:36" x14ac:dyDescent="0.2">
      <c r="A559" t="s">
        <v>100</v>
      </c>
      <c r="B559" t="s">
        <v>708</v>
      </c>
      <c r="C559" t="s">
        <v>102</v>
      </c>
      <c r="D559" t="s">
        <v>73</v>
      </c>
      <c r="E559" t="s">
        <v>74</v>
      </c>
      <c r="F559" t="s">
        <v>116</v>
      </c>
      <c r="G559" t="s">
        <v>709</v>
      </c>
      <c r="I559" t="s">
        <v>534</v>
      </c>
      <c r="J559">
        <v>4.7300000000000004</v>
      </c>
      <c r="L559" t="s">
        <v>78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</row>
    <row r="560" spans="1:36" x14ac:dyDescent="0.2">
      <c r="A560" t="s">
        <v>100</v>
      </c>
      <c r="B560" t="s">
        <v>691</v>
      </c>
      <c r="C560" t="s">
        <v>102</v>
      </c>
      <c r="D560" t="s">
        <v>73</v>
      </c>
      <c r="E560" t="s">
        <v>74</v>
      </c>
      <c r="F560" t="s">
        <v>116</v>
      </c>
      <c r="G560" t="s">
        <v>709</v>
      </c>
      <c r="I560" t="s">
        <v>534</v>
      </c>
      <c r="J560">
        <v>2.81</v>
      </c>
      <c r="L560" t="s">
        <v>78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</row>
    <row r="561" spans="1:36" x14ac:dyDescent="0.2">
      <c r="A561" t="s">
        <v>100</v>
      </c>
      <c r="B561" t="s">
        <v>710</v>
      </c>
      <c r="C561" t="s">
        <v>102</v>
      </c>
      <c r="D561" t="s">
        <v>73</v>
      </c>
      <c r="E561" t="s">
        <v>96</v>
      </c>
      <c r="F561" t="s">
        <v>116</v>
      </c>
      <c r="G561" t="s">
        <v>709</v>
      </c>
      <c r="I561" t="s">
        <v>534</v>
      </c>
      <c r="J561">
        <v>2.81</v>
      </c>
      <c r="L561" t="s">
        <v>78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</row>
    <row r="562" spans="1:36" x14ac:dyDescent="0.2">
      <c r="A562" t="s">
        <v>100</v>
      </c>
      <c r="B562" t="s">
        <v>711</v>
      </c>
      <c r="C562" t="s">
        <v>102</v>
      </c>
      <c r="D562" t="s">
        <v>73</v>
      </c>
      <c r="E562" t="s">
        <v>96</v>
      </c>
      <c r="F562" t="s">
        <v>116</v>
      </c>
      <c r="G562" t="s">
        <v>709</v>
      </c>
      <c r="I562" t="s">
        <v>534</v>
      </c>
      <c r="J562">
        <v>2.81</v>
      </c>
      <c r="L562" t="s">
        <v>78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</row>
    <row r="563" spans="1:36" x14ac:dyDescent="0.2">
      <c r="A563" t="s">
        <v>100</v>
      </c>
      <c r="B563" t="s">
        <v>712</v>
      </c>
      <c r="C563" t="s">
        <v>102</v>
      </c>
      <c r="D563" t="s">
        <v>73</v>
      </c>
      <c r="E563" t="s">
        <v>96</v>
      </c>
      <c r="F563" t="s">
        <v>116</v>
      </c>
      <c r="G563" t="s">
        <v>709</v>
      </c>
      <c r="I563" t="s">
        <v>534</v>
      </c>
      <c r="J563">
        <v>2.81</v>
      </c>
      <c r="L563" t="s">
        <v>78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</row>
    <row r="564" spans="1:36" x14ac:dyDescent="0.2">
      <c r="A564" t="s">
        <v>100</v>
      </c>
      <c r="B564" t="s">
        <v>713</v>
      </c>
      <c r="C564" t="s">
        <v>102</v>
      </c>
      <c r="D564" t="s">
        <v>73</v>
      </c>
      <c r="E564" t="s">
        <v>96</v>
      </c>
      <c r="F564" t="s">
        <v>116</v>
      </c>
      <c r="G564" t="s">
        <v>709</v>
      </c>
      <c r="I564" t="s">
        <v>534</v>
      </c>
      <c r="J564">
        <v>2.81</v>
      </c>
      <c r="L564" t="s">
        <v>78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</row>
    <row r="565" spans="1:36" x14ac:dyDescent="0.2">
      <c r="A565" t="s">
        <v>100</v>
      </c>
      <c r="B565" t="s">
        <v>714</v>
      </c>
      <c r="C565" t="s">
        <v>102</v>
      </c>
      <c r="D565" t="s">
        <v>73</v>
      </c>
      <c r="E565" t="s">
        <v>74</v>
      </c>
      <c r="F565" t="s">
        <v>116</v>
      </c>
      <c r="G565" t="s">
        <v>709</v>
      </c>
      <c r="I565" t="s">
        <v>534</v>
      </c>
      <c r="J565">
        <v>2.81</v>
      </c>
      <c r="L565" t="s">
        <v>78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</row>
    <row r="566" spans="1:36" x14ac:dyDescent="0.2">
      <c r="A566" t="s">
        <v>100</v>
      </c>
      <c r="B566" t="s">
        <v>715</v>
      </c>
      <c r="C566" t="s">
        <v>102</v>
      </c>
      <c r="D566" t="s">
        <v>73</v>
      </c>
      <c r="E566" t="s">
        <v>96</v>
      </c>
      <c r="F566" t="s">
        <v>116</v>
      </c>
      <c r="G566" t="s">
        <v>709</v>
      </c>
      <c r="I566" t="s">
        <v>534</v>
      </c>
      <c r="J566">
        <v>65</v>
      </c>
      <c r="L566" t="s">
        <v>78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</row>
    <row r="567" spans="1:36" x14ac:dyDescent="0.2">
      <c r="A567" t="s">
        <v>100</v>
      </c>
      <c r="B567" t="s">
        <v>716</v>
      </c>
      <c r="C567" t="s">
        <v>102</v>
      </c>
      <c r="D567" t="s">
        <v>73</v>
      </c>
      <c r="E567" t="s">
        <v>96</v>
      </c>
      <c r="F567" t="s">
        <v>116</v>
      </c>
      <c r="G567" t="s">
        <v>709</v>
      </c>
      <c r="I567" t="s">
        <v>534</v>
      </c>
      <c r="J567">
        <v>5.63</v>
      </c>
      <c r="L567" t="s">
        <v>78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</row>
    <row r="568" spans="1:36" x14ac:dyDescent="0.2">
      <c r="A568" t="s">
        <v>100</v>
      </c>
      <c r="B568" t="s">
        <v>717</v>
      </c>
      <c r="C568" t="s">
        <v>102</v>
      </c>
      <c r="D568" t="s">
        <v>73</v>
      </c>
      <c r="E568" t="s">
        <v>96</v>
      </c>
      <c r="F568" t="s">
        <v>116</v>
      </c>
      <c r="G568" t="s">
        <v>709</v>
      </c>
      <c r="I568" t="s">
        <v>534</v>
      </c>
      <c r="J568">
        <v>1</v>
      </c>
      <c r="L568" t="s">
        <v>78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</row>
    <row r="569" spans="1:36" x14ac:dyDescent="0.2">
      <c r="A569" t="s">
        <v>690</v>
      </c>
      <c r="B569" t="s">
        <v>718</v>
      </c>
      <c r="C569" t="s">
        <v>692</v>
      </c>
      <c r="D569" t="s">
        <v>73</v>
      </c>
      <c r="E569" t="s">
        <v>96</v>
      </c>
      <c r="F569" t="s">
        <v>116</v>
      </c>
      <c r="G569" t="s">
        <v>709</v>
      </c>
      <c r="I569" t="s">
        <v>719</v>
      </c>
      <c r="J569">
        <v>25</v>
      </c>
      <c r="L569" t="s">
        <v>78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</row>
    <row r="570" spans="1:36" x14ac:dyDescent="0.2">
      <c r="A570" t="s">
        <v>100</v>
      </c>
      <c r="B570" t="s">
        <v>694</v>
      </c>
      <c r="C570" t="s">
        <v>102</v>
      </c>
      <c r="D570" t="s">
        <v>73</v>
      </c>
      <c r="E570" t="s">
        <v>96</v>
      </c>
      <c r="F570" t="s">
        <v>116</v>
      </c>
      <c r="G570" t="s">
        <v>709</v>
      </c>
      <c r="I570" t="s">
        <v>534</v>
      </c>
      <c r="J570">
        <v>1</v>
      </c>
      <c r="L570" t="s">
        <v>78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</row>
    <row r="571" spans="1:36" x14ac:dyDescent="0.2">
      <c r="A571" t="s">
        <v>100</v>
      </c>
      <c r="B571" t="s">
        <v>720</v>
      </c>
      <c r="C571" t="s">
        <v>102</v>
      </c>
      <c r="D571" t="s">
        <v>73</v>
      </c>
      <c r="E571" t="s">
        <v>74</v>
      </c>
      <c r="F571" t="s">
        <v>116</v>
      </c>
      <c r="G571" t="s">
        <v>709</v>
      </c>
      <c r="I571" t="s">
        <v>534</v>
      </c>
      <c r="J571">
        <v>2.81</v>
      </c>
      <c r="L571" t="s">
        <v>78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</row>
    <row r="572" spans="1:36" x14ac:dyDescent="0.2">
      <c r="A572" t="s">
        <v>100</v>
      </c>
      <c r="B572" t="s">
        <v>721</v>
      </c>
      <c r="C572" t="s">
        <v>102</v>
      </c>
      <c r="D572" t="s">
        <v>73</v>
      </c>
      <c r="E572" t="s">
        <v>74</v>
      </c>
      <c r="F572" t="s">
        <v>116</v>
      </c>
      <c r="G572" t="s">
        <v>709</v>
      </c>
      <c r="I572" t="s">
        <v>534</v>
      </c>
      <c r="J572">
        <v>2.81</v>
      </c>
      <c r="L572" t="s">
        <v>78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</row>
    <row r="573" spans="1:36" x14ac:dyDescent="0.2">
      <c r="A573" t="s">
        <v>100</v>
      </c>
      <c r="B573" t="s">
        <v>722</v>
      </c>
      <c r="C573" t="s">
        <v>102</v>
      </c>
      <c r="D573" t="s">
        <v>73</v>
      </c>
      <c r="E573" t="s">
        <v>74</v>
      </c>
      <c r="F573" t="s">
        <v>116</v>
      </c>
      <c r="G573" t="s">
        <v>709</v>
      </c>
      <c r="I573" t="s">
        <v>534</v>
      </c>
      <c r="J573">
        <v>1</v>
      </c>
      <c r="L573" t="s">
        <v>78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</row>
    <row r="574" spans="1:36" x14ac:dyDescent="0.2">
      <c r="A574" t="s">
        <v>100</v>
      </c>
      <c r="B574" t="s">
        <v>723</v>
      </c>
      <c r="C574" t="s">
        <v>102</v>
      </c>
      <c r="D574" t="s">
        <v>73</v>
      </c>
      <c r="E574" t="s">
        <v>74</v>
      </c>
      <c r="F574" t="s">
        <v>116</v>
      </c>
      <c r="G574" t="s">
        <v>709</v>
      </c>
      <c r="I574" t="s">
        <v>534</v>
      </c>
      <c r="J574">
        <v>2.81</v>
      </c>
      <c r="L574" t="s">
        <v>78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</row>
    <row r="575" spans="1:36" x14ac:dyDescent="0.2">
      <c r="A575" t="s">
        <v>100</v>
      </c>
      <c r="B575" t="s">
        <v>724</v>
      </c>
      <c r="C575" t="s">
        <v>102</v>
      </c>
      <c r="D575" t="s">
        <v>73</v>
      </c>
      <c r="E575" t="s">
        <v>96</v>
      </c>
      <c r="F575" t="s">
        <v>116</v>
      </c>
      <c r="G575" t="s">
        <v>709</v>
      </c>
      <c r="I575" t="s">
        <v>534</v>
      </c>
      <c r="J575">
        <v>2.81</v>
      </c>
      <c r="L575" t="s">
        <v>78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</row>
    <row r="576" spans="1:36" x14ac:dyDescent="0.2">
      <c r="A576" t="s">
        <v>100</v>
      </c>
      <c r="B576" t="s">
        <v>725</v>
      </c>
      <c r="C576" t="s">
        <v>102</v>
      </c>
      <c r="D576" t="s">
        <v>73</v>
      </c>
      <c r="E576" t="s">
        <v>74</v>
      </c>
      <c r="F576" t="s">
        <v>116</v>
      </c>
      <c r="G576" t="s">
        <v>709</v>
      </c>
      <c r="I576" t="s">
        <v>534</v>
      </c>
      <c r="J576">
        <v>8.44</v>
      </c>
      <c r="L576" t="s">
        <v>78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</row>
    <row r="577" spans="1:36" x14ac:dyDescent="0.2">
      <c r="A577" t="s">
        <v>100</v>
      </c>
      <c r="B577" t="s">
        <v>726</v>
      </c>
      <c r="C577" t="s">
        <v>102</v>
      </c>
      <c r="D577" t="s">
        <v>73</v>
      </c>
      <c r="E577" t="s">
        <v>74</v>
      </c>
      <c r="F577" t="s">
        <v>116</v>
      </c>
      <c r="G577" t="s">
        <v>709</v>
      </c>
      <c r="I577" t="s">
        <v>534</v>
      </c>
      <c r="J577">
        <v>1.1299999999999999</v>
      </c>
      <c r="L577" t="s">
        <v>78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</row>
    <row r="578" spans="1:36" x14ac:dyDescent="0.2">
      <c r="A578" t="s">
        <v>100</v>
      </c>
      <c r="B578" t="s">
        <v>727</v>
      </c>
      <c r="C578" t="s">
        <v>102</v>
      </c>
      <c r="D578" t="s">
        <v>73</v>
      </c>
      <c r="E578" t="s">
        <v>74</v>
      </c>
      <c r="F578" t="s">
        <v>116</v>
      </c>
      <c r="G578" t="s">
        <v>709</v>
      </c>
      <c r="I578" t="s">
        <v>534</v>
      </c>
      <c r="J578">
        <v>2.81</v>
      </c>
      <c r="L578" t="s">
        <v>78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</row>
    <row r="579" spans="1:36" x14ac:dyDescent="0.2">
      <c r="A579" t="s">
        <v>100</v>
      </c>
      <c r="B579" t="s">
        <v>728</v>
      </c>
      <c r="C579" t="s">
        <v>102</v>
      </c>
      <c r="D579" t="s">
        <v>73</v>
      </c>
      <c r="E579" t="s">
        <v>96</v>
      </c>
      <c r="F579" t="s">
        <v>116</v>
      </c>
      <c r="G579" t="s">
        <v>709</v>
      </c>
      <c r="I579" t="s">
        <v>534</v>
      </c>
      <c r="J579">
        <v>8.44</v>
      </c>
      <c r="L579" t="s">
        <v>78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</row>
    <row r="580" spans="1:36" x14ac:dyDescent="0.2">
      <c r="A580" t="s">
        <v>100</v>
      </c>
      <c r="B580" t="s">
        <v>729</v>
      </c>
      <c r="C580" t="s">
        <v>102</v>
      </c>
      <c r="D580" t="s">
        <v>73</v>
      </c>
      <c r="E580" t="s">
        <v>74</v>
      </c>
      <c r="F580" t="s">
        <v>116</v>
      </c>
      <c r="G580" t="s">
        <v>709</v>
      </c>
      <c r="I580" t="s">
        <v>534</v>
      </c>
      <c r="J580">
        <v>11.25</v>
      </c>
      <c r="L580" t="s">
        <v>78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</row>
    <row r="581" spans="1:36" x14ac:dyDescent="0.2">
      <c r="A581" t="s">
        <v>100</v>
      </c>
      <c r="B581" t="s">
        <v>730</v>
      </c>
      <c r="C581" t="s">
        <v>102</v>
      </c>
      <c r="D581" t="s">
        <v>73</v>
      </c>
      <c r="E581" t="s">
        <v>96</v>
      </c>
      <c r="F581" t="s">
        <v>116</v>
      </c>
      <c r="G581" t="s">
        <v>709</v>
      </c>
      <c r="I581" t="s">
        <v>534</v>
      </c>
      <c r="J581">
        <v>2.81</v>
      </c>
      <c r="L581" t="s">
        <v>78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</row>
    <row r="582" spans="1:36" x14ac:dyDescent="0.2">
      <c r="A582" t="s">
        <v>100</v>
      </c>
      <c r="B582" t="s">
        <v>731</v>
      </c>
      <c r="C582" t="s">
        <v>102</v>
      </c>
      <c r="D582" t="s">
        <v>73</v>
      </c>
      <c r="E582" t="s">
        <v>74</v>
      </c>
      <c r="F582" t="s">
        <v>116</v>
      </c>
      <c r="G582" t="s">
        <v>709</v>
      </c>
      <c r="I582" t="s">
        <v>534</v>
      </c>
      <c r="J582">
        <v>2.81</v>
      </c>
      <c r="L582" t="s">
        <v>78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</row>
    <row r="583" spans="1:36" x14ac:dyDescent="0.2">
      <c r="A583" t="s">
        <v>100</v>
      </c>
      <c r="B583" t="s">
        <v>732</v>
      </c>
      <c r="C583" t="s">
        <v>102</v>
      </c>
      <c r="D583" t="s">
        <v>73</v>
      </c>
      <c r="E583" t="s">
        <v>96</v>
      </c>
      <c r="F583" t="s">
        <v>116</v>
      </c>
      <c r="G583" t="s">
        <v>709</v>
      </c>
      <c r="I583" t="s">
        <v>534</v>
      </c>
      <c r="J583">
        <v>8.44</v>
      </c>
      <c r="L583" t="s">
        <v>78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</row>
    <row r="584" spans="1:36" x14ac:dyDescent="0.2">
      <c r="A584" t="s">
        <v>100</v>
      </c>
      <c r="B584" t="s">
        <v>733</v>
      </c>
      <c r="C584" t="s">
        <v>102</v>
      </c>
      <c r="D584" t="s">
        <v>73</v>
      </c>
      <c r="E584" t="s">
        <v>74</v>
      </c>
      <c r="F584" t="s">
        <v>116</v>
      </c>
      <c r="G584" t="s">
        <v>709</v>
      </c>
      <c r="I584" t="s">
        <v>534</v>
      </c>
      <c r="J584">
        <v>3.38</v>
      </c>
      <c r="L584" t="s">
        <v>78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</row>
    <row r="585" spans="1:36" x14ac:dyDescent="0.2">
      <c r="A585" t="s">
        <v>100</v>
      </c>
      <c r="B585" t="s">
        <v>734</v>
      </c>
      <c r="C585" t="s">
        <v>102</v>
      </c>
      <c r="D585" t="s">
        <v>73</v>
      </c>
      <c r="E585" t="s">
        <v>96</v>
      </c>
      <c r="F585" t="s">
        <v>116</v>
      </c>
      <c r="G585" t="s">
        <v>709</v>
      </c>
      <c r="I585" t="s">
        <v>534</v>
      </c>
      <c r="J585">
        <v>2.81</v>
      </c>
      <c r="L585" t="s">
        <v>78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</row>
    <row r="586" spans="1:36" x14ac:dyDescent="0.2">
      <c r="A586" t="s">
        <v>100</v>
      </c>
      <c r="B586" t="s">
        <v>735</v>
      </c>
      <c r="C586" t="s">
        <v>102</v>
      </c>
      <c r="D586" t="s">
        <v>73</v>
      </c>
      <c r="E586" t="s">
        <v>96</v>
      </c>
      <c r="F586" t="s">
        <v>116</v>
      </c>
      <c r="G586" t="s">
        <v>709</v>
      </c>
      <c r="I586" t="s">
        <v>534</v>
      </c>
      <c r="J586">
        <v>5.63</v>
      </c>
      <c r="L586" t="s">
        <v>78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</row>
    <row r="587" spans="1:36" x14ac:dyDescent="0.2">
      <c r="A587" t="s">
        <v>100</v>
      </c>
      <c r="B587" t="s">
        <v>736</v>
      </c>
      <c r="C587" t="s">
        <v>102</v>
      </c>
      <c r="D587" t="s">
        <v>73</v>
      </c>
      <c r="E587" t="s">
        <v>96</v>
      </c>
      <c r="F587" t="s">
        <v>116</v>
      </c>
      <c r="G587" t="s">
        <v>709</v>
      </c>
      <c r="I587" t="s">
        <v>534</v>
      </c>
      <c r="J587">
        <v>2.25</v>
      </c>
      <c r="L587" t="s">
        <v>78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</row>
    <row r="588" spans="1:36" x14ac:dyDescent="0.2">
      <c r="A588" t="s">
        <v>100</v>
      </c>
      <c r="B588" t="s">
        <v>737</v>
      </c>
      <c r="C588" t="s">
        <v>102</v>
      </c>
      <c r="D588" t="s">
        <v>73</v>
      </c>
      <c r="E588" t="s">
        <v>96</v>
      </c>
      <c r="F588" t="s">
        <v>116</v>
      </c>
      <c r="G588" t="s">
        <v>709</v>
      </c>
      <c r="I588" t="s">
        <v>534</v>
      </c>
      <c r="J588">
        <v>2.81</v>
      </c>
      <c r="L588" t="s">
        <v>78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</row>
    <row r="589" spans="1:36" x14ac:dyDescent="0.2">
      <c r="A589" t="s">
        <v>100</v>
      </c>
      <c r="B589" t="s">
        <v>738</v>
      </c>
      <c r="C589" t="s">
        <v>102</v>
      </c>
      <c r="D589" t="s">
        <v>73</v>
      </c>
      <c r="E589" t="s">
        <v>96</v>
      </c>
      <c r="F589" t="s">
        <v>116</v>
      </c>
      <c r="G589" t="s">
        <v>709</v>
      </c>
      <c r="I589" t="s">
        <v>534</v>
      </c>
      <c r="J589">
        <v>2.81</v>
      </c>
      <c r="L589" t="s">
        <v>78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</row>
    <row r="590" spans="1:36" x14ac:dyDescent="0.2">
      <c r="A590" t="s">
        <v>100</v>
      </c>
      <c r="B590" t="s">
        <v>739</v>
      </c>
      <c r="C590" t="s">
        <v>102</v>
      </c>
      <c r="D590" t="s">
        <v>73</v>
      </c>
      <c r="E590" t="s">
        <v>74</v>
      </c>
      <c r="F590" t="s">
        <v>116</v>
      </c>
      <c r="G590" t="s">
        <v>709</v>
      </c>
      <c r="I590" t="s">
        <v>534</v>
      </c>
      <c r="J590">
        <v>2.81</v>
      </c>
      <c r="L590" t="s">
        <v>78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</row>
    <row r="591" spans="1:36" x14ac:dyDescent="0.2">
      <c r="A591" t="s">
        <v>70</v>
      </c>
      <c r="B591" t="s">
        <v>740</v>
      </c>
      <c r="C591" t="s">
        <v>72</v>
      </c>
      <c r="D591" t="s">
        <v>73</v>
      </c>
      <c r="E591" t="s">
        <v>74</v>
      </c>
      <c r="F591" t="s">
        <v>116</v>
      </c>
      <c r="G591" t="s">
        <v>709</v>
      </c>
      <c r="I591" t="s">
        <v>534</v>
      </c>
      <c r="J591">
        <v>28</v>
      </c>
      <c r="K591" t="s">
        <v>77</v>
      </c>
      <c r="L591" t="s">
        <v>78</v>
      </c>
      <c r="M591">
        <v>9329</v>
      </c>
      <c r="N591">
        <v>75</v>
      </c>
      <c r="O591">
        <v>8.0000000000000002E-3</v>
      </c>
      <c r="P591">
        <v>32.9</v>
      </c>
      <c r="Q591">
        <v>0.44</v>
      </c>
      <c r="R591">
        <v>0</v>
      </c>
      <c r="S591">
        <v>3</v>
      </c>
      <c r="T591">
        <v>692.27</v>
      </c>
      <c r="U591">
        <v>4.7500000000000001E-2</v>
      </c>
      <c r="V591">
        <v>21.041599999999999</v>
      </c>
      <c r="W591">
        <v>0</v>
      </c>
      <c r="X591">
        <v>0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</row>
    <row r="592" spans="1:36" x14ac:dyDescent="0.2">
      <c r="A592" t="s">
        <v>100</v>
      </c>
      <c r="B592" t="s">
        <v>741</v>
      </c>
      <c r="C592" t="s">
        <v>102</v>
      </c>
      <c r="D592" t="s">
        <v>73</v>
      </c>
      <c r="E592" t="s">
        <v>96</v>
      </c>
      <c r="F592" t="s">
        <v>116</v>
      </c>
      <c r="G592" t="s">
        <v>709</v>
      </c>
      <c r="I592" t="s">
        <v>534</v>
      </c>
      <c r="J592">
        <v>15.5</v>
      </c>
      <c r="L592" t="s">
        <v>78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</row>
    <row r="593" spans="1:36" x14ac:dyDescent="0.2">
      <c r="A593" t="s">
        <v>690</v>
      </c>
      <c r="B593" t="s">
        <v>742</v>
      </c>
      <c r="C593" t="s">
        <v>692</v>
      </c>
      <c r="D593" t="s">
        <v>73</v>
      </c>
      <c r="E593" t="s">
        <v>74</v>
      </c>
      <c r="F593" t="s">
        <v>116</v>
      </c>
      <c r="G593" t="s">
        <v>709</v>
      </c>
      <c r="I593" t="s">
        <v>719</v>
      </c>
      <c r="J593">
        <v>25</v>
      </c>
      <c r="L593" t="s">
        <v>78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</row>
    <row r="594" spans="1:36" x14ac:dyDescent="0.2">
      <c r="A594" t="s">
        <v>100</v>
      </c>
      <c r="B594" t="s">
        <v>743</v>
      </c>
      <c r="C594" t="s">
        <v>102</v>
      </c>
      <c r="D594" t="s">
        <v>73</v>
      </c>
      <c r="E594" t="s">
        <v>74</v>
      </c>
      <c r="F594" t="s">
        <v>116</v>
      </c>
      <c r="G594" t="s">
        <v>709</v>
      </c>
      <c r="I594" t="s">
        <v>534</v>
      </c>
      <c r="J594">
        <v>1</v>
      </c>
      <c r="L594" t="s">
        <v>78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</row>
    <row r="595" spans="1:36" x14ac:dyDescent="0.2">
      <c r="A595" t="s">
        <v>100</v>
      </c>
      <c r="B595" t="s">
        <v>744</v>
      </c>
      <c r="C595" t="s">
        <v>102</v>
      </c>
      <c r="D595" t="s">
        <v>73</v>
      </c>
      <c r="E595" t="s">
        <v>74</v>
      </c>
      <c r="F595" t="s">
        <v>116</v>
      </c>
      <c r="G595" t="s">
        <v>709</v>
      </c>
      <c r="I595" t="s">
        <v>534</v>
      </c>
      <c r="J595">
        <v>5.63</v>
      </c>
      <c r="L595" t="s">
        <v>78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</row>
    <row r="596" spans="1:36" x14ac:dyDescent="0.2">
      <c r="A596" t="s">
        <v>70</v>
      </c>
      <c r="B596" t="s">
        <v>745</v>
      </c>
      <c r="C596" t="s">
        <v>72</v>
      </c>
      <c r="D596" t="s">
        <v>73</v>
      </c>
      <c r="E596" t="s">
        <v>74</v>
      </c>
      <c r="F596" t="s">
        <v>116</v>
      </c>
      <c r="G596" t="s">
        <v>709</v>
      </c>
      <c r="I596" t="s">
        <v>534</v>
      </c>
      <c r="J596">
        <v>27</v>
      </c>
      <c r="K596" t="s">
        <v>77</v>
      </c>
      <c r="L596" t="s">
        <v>78</v>
      </c>
      <c r="M596">
        <v>39798</v>
      </c>
      <c r="N596">
        <v>293</v>
      </c>
      <c r="O596">
        <v>7.4000000000000003E-3</v>
      </c>
      <c r="P596">
        <v>63.49</v>
      </c>
      <c r="Q596">
        <v>0.22</v>
      </c>
      <c r="R596">
        <v>0</v>
      </c>
      <c r="S596">
        <v>7</v>
      </c>
      <c r="T596">
        <v>756.98</v>
      </c>
      <c r="U596">
        <v>8.3900000000000002E-2</v>
      </c>
      <c r="V596">
        <v>11.922800000000001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</row>
    <row r="597" spans="1:36" x14ac:dyDescent="0.2">
      <c r="A597" t="s">
        <v>100</v>
      </c>
      <c r="B597" t="s">
        <v>746</v>
      </c>
      <c r="C597" t="s">
        <v>102</v>
      </c>
      <c r="D597" t="s">
        <v>73</v>
      </c>
      <c r="E597" t="s">
        <v>74</v>
      </c>
      <c r="F597" t="s">
        <v>116</v>
      </c>
      <c r="G597" t="s">
        <v>709</v>
      </c>
      <c r="I597" t="s">
        <v>534</v>
      </c>
      <c r="J597">
        <v>2.81</v>
      </c>
      <c r="L597" t="s">
        <v>78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</row>
    <row r="598" spans="1:36" x14ac:dyDescent="0.2">
      <c r="A598" t="s">
        <v>100</v>
      </c>
      <c r="B598" t="s">
        <v>747</v>
      </c>
      <c r="C598" t="s">
        <v>102</v>
      </c>
      <c r="D598" t="s">
        <v>73</v>
      </c>
      <c r="E598" t="s">
        <v>96</v>
      </c>
      <c r="F598" t="s">
        <v>116</v>
      </c>
      <c r="G598" t="s">
        <v>709</v>
      </c>
      <c r="I598" t="s">
        <v>534</v>
      </c>
      <c r="J598">
        <v>2.81</v>
      </c>
      <c r="L598" t="s">
        <v>78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</row>
    <row r="599" spans="1:36" x14ac:dyDescent="0.2">
      <c r="A599" t="s">
        <v>100</v>
      </c>
      <c r="B599" t="s">
        <v>748</v>
      </c>
      <c r="C599" t="s">
        <v>102</v>
      </c>
      <c r="D599" t="s">
        <v>73</v>
      </c>
      <c r="E599" t="s">
        <v>74</v>
      </c>
      <c r="F599" t="s">
        <v>116</v>
      </c>
      <c r="G599" t="s">
        <v>709</v>
      </c>
      <c r="I599" t="s">
        <v>534</v>
      </c>
      <c r="J599">
        <v>11.25</v>
      </c>
      <c r="L599" t="s">
        <v>78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</row>
    <row r="600" spans="1:36" x14ac:dyDescent="0.2">
      <c r="A600" t="s">
        <v>70</v>
      </c>
      <c r="B600" t="s">
        <v>749</v>
      </c>
      <c r="C600" t="s">
        <v>72</v>
      </c>
      <c r="D600" t="s">
        <v>73</v>
      </c>
      <c r="E600" t="s">
        <v>96</v>
      </c>
      <c r="F600" t="s">
        <v>116</v>
      </c>
      <c r="G600" t="s">
        <v>709</v>
      </c>
      <c r="I600" t="s">
        <v>218</v>
      </c>
      <c r="J600">
        <v>15</v>
      </c>
      <c r="K600" t="s">
        <v>77</v>
      </c>
      <c r="L600" t="s">
        <v>78</v>
      </c>
      <c r="M600">
        <v>522</v>
      </c>
      <c r="N600">
        <v>10</v>
      </c>
      <c r="O600">
        <v>1.9199999999999998E-2</v>
      </c>
      <c r="P600">
        <v>3.05</v>
      </c>
      <c r="Q600">
        <v>0.31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</row>
    <row r="601" spans="1:36" x14ac:dyDescent="0.2">
      <c r="A601" t="s">
        <v>100</v>
      </c>
      <c r="B601" t="s">
        <v>750</v>
      </c>
      <c r="C601" t="s">
        <v>102</v>
      </c>
      <c r="D601" t="s">
        <v>73</v>
      </c>
      <c r="E601" t="s">
        <v>74</v>
      </c>
      <c r="F601" t="s">
        <v>116</v>
      </c>
      <c r="G601" t="s">
        <v>751</v>
      </c>
      <c r="I601" t="s">
        <v>534</v>
      </c>
      <c r="J601">
        <v>33.75</v>
      </c>
      <c r="L601" t="s">
        <v>78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</row>
    <row r="602" spans="1:36" x14ac:dyDescent="0.2">
      <c r="A602" t="s">
        <v>70</v>
      </c>
      <c r="B602" t="s">
        <v>752</v>
      </c>
      <c r="C602" t="s">
        <v>72</v>
      </c>
      <c r="D602" t="s">
        <v>73</v>
      </c>
      <c r="E602" t="s">
        <v>96</v>
      </c>
      <c r="F602" t="s">
        <v>75</v>
      </c>
      <c r="G602" t="s">
        <v>751</v>
      </c>
      <c r="I602" t="s">
        <v>534</v>
      </c>
      <c r="J602">
        <v>45</v>
      </c>
      <c r="K602" t="s">
        <v>77</v>
      </c>
      <c r="L602" t="s">
        <v>78</v>
      </c>
      <c r="M602">
        <v>229880</v>
      </c>
      <c r="N602">
        <v>1264</v>
      </c>
      <c r="O602">
        <v>5.4999999999999997E-3</v>
      </c>
      <c r="P602">
        <v>560.99</v>
      </c>
      <c r="Q602">
        <v>0.44</v>
      </c>
      <c r="R602">
        <v>0</v>
      </c>
      <c r="S602">
        <v>25</v>
      </c>
      <c r="T602">
        <v>662</v>
      </c>
      <c r="U602">
        <v>0.84740000000000004</v>
      </c>
      <c r="V602">
        <v>1.1800999999999999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</row>
    <row r="603" spans="1:36" x14ac:dyDescent="0.2">
      <c r="A603" t="s">
        <v>100</v>
      </c>
      <c r="B603" t="s">
        <v>753</v>
      </c>
      <c r="C603" t="s">
        <v>102</v>
      </c>
      <c r="D603" t="s">
        <v>73</v>
      </c>
      <c r="E603" t="s">
        <v>74</v>
      </c>
      <c r="F603" t="s">
        <v>116</v>
      </c>
      <c r="G603" s="1">
        <v>43896</v>
      </c>
      <c r="I603" t="s">
        <v>534</v>
      </c>
      <c r="J603">
        <v>1.1299999999999999</v>
      </c>
      <c r="L603" t="s">
        <v>78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</row>
    <row r="604" spans="1:36" x14ac:dyDescent="0.2">
      <c r="A604" t="s">
        <v>100</v>
      </c>
      <c r="B604" t="s">
        <v>754</v>
      </c>
      <c r="C604" t="s">
        <v>102</v>
      </c>
      <c r="D604" t="s">
        <v>73</v>
      </c>
      <c r="E604" t="s">
        <v>96</v>
      </c>
      <c r="F604" t="s">
        <v>116</v>
      </c>
      <c r="G604" s="1">
        <v>43896</v>
      </c>
      <c r="I604" t="s">
        <v>534</v>
      </c>
      <c r="J604">
        <v>2.81</v>
      </c>
      <c r="L604" t="s">
        <v>78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</row>
    <row r="605" spans="1:36" x14ac:dyDescent="0.2">
      <c r="A605" t="s">
        <v>100</v>
      </c>
      <c r="B605" t="s">
        <v>755</v>
      </c>
      <c r="C605" t="s">
        <v>102</v>
      </c>
      <c r="D605" t="s">
        <v>73</v>
      </c>
      <c r="E605" t="s">
        <v>96</v>
      </c>
      <c r="F605" t="s">
        <v>116</v>
      </c>
      <c r="G605" s="1">
        <v>43896</v>
      </c>
      <c r="I605" t="s">
        <v>534</v>
      </c>
      <c r="J605">
        <v>22.5</v>
      </c>
      <c r="L605" t="s">
        <v>78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</row>
    <row r="606" spans="1:36" x14ac:dyDescent="0.2">
      <c r="A606" t="s">
        <v>690</v>
      </c>
      <c r="B606" t="s">
        <v>756</v>
      </c>
      <c r="C606" t="s">
        <v>692</v>
      </c>
      <c r="D606" t="s">
        <v>73</v>
      </c>
      <c r="E606" t="s">
        <v>96</v>
      </c>
      <c r="F606" t="s">
        <v>116</v>
      </c>
      <c r="G606" s="1">
        <v>43896</v>
      </c>
      <c r="I606" t="s">
        <v>534</v>
      </c>
      <c r="J606">
        <v>10</v>
      </c>
      <c r="L606" t="s">
        <v>78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</row>
    <row r="607" spans="1:36" x14ac:dyDescent="0.2">
      <c r="A607" t="s">
        <v>100</v>
      </c>
      <c r="B607" t="s">
        <v>757</v>
      </c>
      <c r="C607" t="s">
        <v>102</v>
      </c>
      <c r="D607" t="s">
        <v>73</v>
      </c>
      <c r="E607" t="s">
        <v>74</v>
      </c>
      <c r="F607" t="s">
        <v>116</v>
      </c>
      <c r="G607" s="1">
        <v>43896</v>
      </c>
      <c r="I607" t="s">
        <v>534</v>
      </c>
      <c r="J607">
        <v>22.5</v>
      </c>
      <c r="L607" t="s">
        <v>78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</row>
    <row r="608" spans="1:36" x14ac:dyDescent="0.2">
      <c r="A608" t="s">
        <v>690</v>
      </c>
      <c r="B608" t="s">
        <v>758</v>
      </c>
      <c r="C608" t="s">
        <v>692</v>
      </c>
      <c r="D608" t="s">
        <v>73</v>
      </c>
      <c r="E608" t="s">
        <v>96</v>
      </c>
      <c r="F608" t="s">
        <v>116</v>
      </c>
      <c r="G608" s="1">
        <v>43896</v>
      </c>
      <c r="I608" t="s">
        <v>719</v>
      </c>
      <c r="J608">
        <v>200</v>
      </c>
      <c r="L608" t="s">
        <v>78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</row>
    <row r="609" spans="1:36" x14ac:dyDescent="0.2">
      <c r="A609" t="s">
        <v>690</v>
      </c>
      <c r="B609" t="s">
        <v>759</v>
      </c>
      <c r="C609" t="s">
        <v>692</v>
      </c>
      <c r="D609" t="s">
        <v>73</v>
      </c>
      <c r="E609" t="s">
        <v>74</v>
      </c>
      <c r="F609" t="s">
        <v>116</v>
      </c>
      <c r="G609" s="1">
        <v>43896</v>
      </c>
      <c r="I609" t="s">
        <v>719</v>
      </c>
      <c r="J609">
        <v>200</v>
      </c>
      <c r="L609" t="s">
        <v>78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</row>
    <row r="610" spans="1:36" x14ac:dyDescent="0.2">
      <c r="A610" t="s">
        <v>100</v>
      </c>
      <c r="B610" t="s">
        <v>760</v>
      </c>
      <c r="C610" t="s">
        <v>102</v>
      </c>
      <c r="D610" t="s">
        <v>73</v>
      </c>
      <c r="E610" t="s">
        <v>96</v>
      </c>
      <c r="F610" t="s">
        <v>116</v>
      </c>
      <c r="G610" s="1">
        <v>43896</v>
      </c>
      <c r="I610" t="s">
        <v>534</v>
      </c>
      <c r="J610">
        <v>1</v>
      </c>
      <c r="L610" t="s">
        <v>78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</row>
    <row r="611" spans="1:36" x14ac:dyDescent="0.2">
      <c r="A611" t="s">
        <v>100</v>
      </c>
      <c r="B611" t="s">
        <v>761</v>
      </c>
      <c r="C611" t="s">
        <v>102</v>
      </c>
      <c r="D611" t="s">
        <v>73</v>
      </c>
      <c r="E611" t="s">
        <v>74</v>
      </c>
      <c r="F611" t="s">
        <v>116</v>
      </c>
      <c r="G611" s="1">
        <v>43896</v>
      </c>
      <c r="I611" t="s">
        <v>534</v>
      </c>
      <c r="J611">
        <v>22.5</v>
      </c>
      <c r="L611" t="s">
        <v>78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</row>
    <row r="612" spans="1:36" x14ac:dyDescent="0.2">
      <c r="A612" t="s">
        <v>100</v>
      </c>
      <c r="B612" t="s">
        <v>762</v>
      </c>
      <c r="C612" t="s">
        <v>102</v>
      </c>
      <c r="D612" t="s">
        <v>73</v>
      </c>
      <c r="E612" t="s">
        <v>96</v>
      </c>
      <c r="F612" t="s">
        <v>116</v>
      </c>
      <c r="G612" s="1">
        <v>43896</v>
      </c>
      <c r="I612" t="s">
        <v>534</v>
      </c>
      <c r="J612">
        <v>2.81</v>
      </c>
      <c r="L612" t="s">
        <v>78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</row>
    <row r="613" spans="1:36" x14ac:dyDescent="0.2">
      <c r="A613" t="s">
        <v>690</v>
      </c>
      <c r="B613" t="s">
        <v>763</v>
      </c>
      <c r="C613" t="s">
        <v>692</v>
      </c>
      <c r="D613" t="s">
        <v>73</v>
      </c>
      <c r="E613" t="s">
        <v>96</v>
      </c>
      <c r="F613" t="s">
        <v>116</v>
      </c>
      <c r="G613" s="1">
        <v>43896</v>
      </c>
      <c r="I613" t="s">
        <v>534</v>
      </c>
      <c r="J613">
        <v>25</v>
      </c>
      <c r="L613" t="s">
        <v>78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</row>
    <row r="614" spans="1:36" x14ac:dyDescent="0.2">
      <c r="A614" t="s">
        <v>690</v>
      </c>
      <c r="B614" t="s">
        <v>764</v>
      </c>
      <c r="C614" t="s">
        <v>692</v>
      </c>
      <c r="D614" t="s">
        <v>73</v>
      </c>
      <c r="E614" t="s">
        <v>74</v>
      </c>
      <c r="F614" t="s">
        <v>116</v>
      </c>
      <c r="G614" s="1">
        <v>43896</v>
      </c>
      <c r="I614" t="s">
        <v>534</v>
      </c>
      <c r="J614">
        <v>25</v>
      </c>
      <c r="L614" t="s">
        <v>78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</row>
    <row r="615" spans="1:36" x14ac:dyDescent="0.2">
      <c r="A615" t="s">
        <v>100</v>
      </c>
      <c r="B615" t="s">
        <v>765</v>
      </c>
      <c r="C615" t="s">
        <v>102</v>
      </c>
      <c r="D615" t="s">
        <v>73</v>
      </c>
      <c r="E615" t="s">
        <v>74</v>
      </c>
      <c r="F615" t="s">
        <v>116</v>
      </c>
      <c r="G615" s="1">
        <v>43896</v>
      </c>
      <c r="I615" t="s">
        <v>534</v>
      </c>
      <c r="J615">
        <v>22.5</v>
      </c>
      <c r="L615" t="s">
        <v>78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</row>
    <row r="616" spans="1:36" x14ac:dyDescent="0.2">
      <c r="A616" t="s">
        <v>70</v>
      </c>
      <c r="B616" t="s">
        <v>766</v>
      </c>
      <c r="C616" t="s">
        <v>72</v>
      </c>
      <c r="D616" t="s">
        <v>73</v>
      </c>
      <c r="E616" t="s">
        <v>96</v>
      </c>
      <c r="F616" t="s">
        <v>75</v>
      </c>
      <c r="G616" s="1">
        <v>43896</v>
      </c>
      <c r="I616" t="s">
        <v>128</v>
      </c>
      <c r="J616">
        <v>24</v>
      </c>
      <c r="K616" t="s">
        <v>77</v>
      </c>
      <c r="L616" t="s">
        <v>78</v>
      </c>
      <c r="M616">
        <v>14800</v>
      </c>
      <c r="N616">
        <v>119</v>
      </c>
      <c r="O616">
        <v>8.0000000000000002E-3</v>
      </c>
      <c r="P616">
        <v>61.03</v>
      </c>
      <c r="Q616">
        <v>0.51</v>
      </c>
      <c r="R616">
        <v>0</v>
      </c>
      <c r="S616">
        <v>11</v>
      </c>
      <c r="T616">
        <v>203.93</v>
      </c>
      <c r="U616">
        <v>0.29930000000000001</v>
      </c>
      <c r="V616">
        <v>3.3414999999999999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</row>
    <row r="617" spans="1:36" x14ac:dyDescent="0.2">
      <c r="A617" t="s">
        <v>100</v>
      </c>
      <c r="B617" t="s">
        <v>767</v>
      </c>
      <c r="C617" t="s">
        <v>102</v>
      </c>
      <c r="D617" t="s">
        <v>73</v>
      </c>
      <c r="E617" t="s">
        <v>74</v>
      </c>
      <c r="F617" t="s">
        <v>116</v>
      </c>
      <c r="G617" s="1">
        <v>43896</v>
      </c>
      <c r="I617" t="s">
        <v>534</v>
      </c>
      <c r="J617">
        <v>45</v>
      </c>
      <c r="L617" t="s">
        <v>78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</row>
    <row r="618" spans="1:36" x14ac:dyDescent="0.2">
      <c r="A618" t="s">
        <v>100</v>
      </c>
      <c r="B618" t="s">
        <v>768</v>
      </c>
      <c r="C618" t="s">
        <v>102</v>
      </c>
      <c r="D618" t="s">
        <v>73</v>
      </c>
      <c r="E618" t="s">
        <v>74</v>
      </c>
      <c r="F618" t="s">
        <v>116</v>
      </c>
      <c r="G618" s="1">
        <v>43896</v>
      </c>
      <c r="I618" t="s">
        <v>534</v>
      </c>
      <c r="J618">
        <v>2.81</v>
      </c>
      <c r="L618" t="s">
        <v>78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</row>
    <row r="619" spans="1:36" x14ac:dyDescent="0.2">
      <c r="A619" t="s">
        <v>100</v>
      </c>
      <c r="B619" t="s">
        <v>769</v>
      </c>
      <c r="C619" t="s">
        <v>102</v>
      </c>
      <c r="D619" t="s">
        <v>73</v>
      </c>
      <c r="E619" t="s">
        <v>96</v>
      </c>
      <c r="F619" t="s">
        <v>116</v>
      </c>
      <c r="G619" s="1">
        <v>43896</v>
      </c>
      <c r="I619" t="s">
        <v>126</v>
      </c>
      <c r="J619">
        <v>22.5</v>
      </c>
      <c r="L619" t="s">
        <v>78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</row>
    <row r="620" spans="1:36" x14ac:dyDescent="0.2">
      <c r="A620" t="s">
        <v>100</v>
      </c>
      <c r="B620" t="s">
        <v>770</v>
      </c>
      <c r="C620" t="s">
        <v>102</v>
      </c>
      <c r="D620" t="s">
        <v>73</v>
      </c>
      <c r="E620" t="s">
        <v>74</v>
      </c>
      <c r="F620" t="s">
        <v>116</v>
      </c>
      <c r="G620" s="1">
        <v>43896</v>
      </c>
      <c r="I620" t="s">
        <v>534</v>
      </c>
      <c r="J620">
        <v>22.5</v>
      </c>
      <c r="L620" t="s">
        <v>78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</row>
    <row r="621" spans="1:36" x14ac:dyDescent="0.2">
      <c r="A621" t="s">
        <v>100</v>
      </c>
      <c r="B621" t="s">
        <v>771</v>
      </c>
      <c r="C621" t="s">
        <v>102</v>
      </c>
      <c r="D621" t="s">
        <v>73</v>
      </c>
      <c r="E621" t="s">
        <v>74</v>
      </c>
      <c r="F621" t="s">
        <v>141</v>
      </c>
      <c r="G621" s="1">
        <v>43893</v>
      </c>
      <c r="I621" t="s">
        <v>772</v>
      </c>
      <c r="J621">
        <v>2.25</v>
      </c>
      <c r="L621" t="s">
        <v>78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</row>
    <row r="622" spans="1:36" x14ac:dyDescent="0.2">
      <c r="A622" t="s">
        <v>100</v>
      </c>
      <c r="B622" t="s">
        <v>773</v>
      </c>
      <c r="C622" t="s">
        <v>102</v>
      </c>
      <c r="D622" t="s">
        <v>73</v>
      </c>
      <c r="E622" t="s">
        <v>74</v>
      </c>
      <c r="F622" t="s">
        <v>141</v>
      </c>
      <c r="G622" s="1">
        <v>43893</v>
      </c>
      <c r="I622" t="s">
        <v>772</v>
      </c>
      <c r="J622">
        <v>2.25</v>
      </c>
      <c r="L622" t="s">
        <v>78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</row>
    <row r="623" spans="1:36" x14ac:dyDescent="0.2">
      <c r="A623" t="s">
        <v>100</v>
      </c>
      <c r="B623" t="s">
        <v>774</v>
      </c>
      <c r="C623" t="s">
        <v>102</v>
      </c>
      <c r="D623" t="s">
        <v>73</v>
      </c>
      <c r="E623" t="s">
        <v>74</v>
      </c>
      <c r="F623" t="s">
        <v>141</v>
      </c>
      <c r="G623" s="1">
        <v>43893</v>
      </c>
      <c r="I623" t="s">
        <v>772</v>
      </c>
      <c r="J623">
        <v>2.25</v>
      </c>
      <c r="L623" t="s">
        <v>78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</row>
    <row r="624" spans="1:36" x14ac:dyDescent="0.2">
      <c r="A624" t="s">
        <v>100</v>
      </c>
      <c r="B624" t="s">
        <v>775</v>
      </c>
      <c r="C624" t="s">
        <v>102</v>
      </c>
      <c r="D624" t="s">
        <v>73</v>
      </c>
      <c r="E624" t="s">
        <v>74</v>
      </c>
      <c r="F624" t="s">
        <v>141</v>
      </c>
      <c r="G624" s="1">
        <v>43893</v>
      </c>
      <c r="I624" t="s">
        <v>772</v>
      </c>
      <c r="J624">
        <v>2.25</v>
      </c>
      <c r="L624" t="s">
        <v>78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</row>
    <row r="625" spans="1:36" x14ac:dyDescent="0.2">
      <c r="A625" t="s">
        <v>100</v>
      </c>
      <c r="B625" t="s">
        <v>776</v>
      </c>
      <c r="C625" t="s">
        <v>102</v>
      </c>
      <c r="D625" t="s">
        <v>73</v>
      </c>
      <c r="E625" t="s">
        <v>74</v>
      </c>
      <c r="F625" t="s">
        <v>141</v>
      </c>
      <c r="G625" s="1">
        <v>43893</v>
      </c>
      <c r="I625" t="s">
        <v>772</v>
      </c>
      <c r="J625">
        <v>2.25</v>
      </c>
      <c r="L625" t="s">
        <v>78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</row>
    <row r="626" spans="1:36" x14ac:dyDescent="0.2">
      <c r="A626" t="s">
        <v>100</v>
      </c>
      <c r="B626" t="s">
        <v>777</v>
      </c>
      <c r="C626" t="s">
        <v>102</v>
      </c>
      <c r="D626" t="s">
        <v>73</v>
      </c>
      <c r="E626" t="s">
        <v>74</v>
      </c>
      <c r="F626" t="s">
        <v>141</v>
      </c>
      <c r="G626" s="1">
        <v>43893</v>
      </c>
      <c r="I626" t="s">
        <v>772</v>
      </c>
      <c r="J626">
        <v>2.25</v>
      </c>
      <c r="L626" t="s">
        <v>78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</row>
    <row r="627" spans="1:36" x14ac:dyDescent="0.2">
      <c r="A627" t="s">
        <v>100</v>
      </c>
      <c r="B627" t="s">
        <v>778</v>
      </c>
      <c r="C627" t="s">
        <v>102</v>
      </c>
      <c r="D627" t="s">
        <v>73</v>
      </c>
      <c r="E627" t="s">
        <v>74</v>
      </c>
      <c r="F627" t="s">
        <v>141</v>
      </c>
      <c r="G627" s="1">
        <v>43893</v>
      </c>
      <c r="I627" t="s">
        <v>772</v>
      </c>
      <c r="J627">
        <v>2.25</v>
      </c>
      <c r="L627" t="s">
        <v>78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</row>
    <row r="628" spans="1:36" x14ac:dyDescent="0.2">
      <c r="A628" t="s">
        <v>100</v>
      </c>
      <c r="B628" t="s">
        <v>126</v>
      </c>
      <c r="C628" t="s">
        <v>102</v>
      </c>
      <c r="D628" t="s">
        <v>73</v>
      </c>
      <c r="E628" t="s">
        <v>74</v>
      </c>
      <c r="F628" t="s">
        <v>141</v>
      </c>
      <c r="G628" s="1">
        <v>43893</v>
      </c>
      <c r="I628" t="s">
        <v>126</v>
      </c>
      <c r="J628">
        <v>2.25</v>
      </c>
      <c r="L628" t="s">
        <v>78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</row>
    <row r="629" spans="1:36" x14ac:dyDescent="0.2">
      <c r="A629" t="s">
        <v>100</v>
      </c>
      <c r="B629" t="s">
        <v>779</v>
      </c>
      <c r="C629" t="s">
        <v>102</v>
      </c>
      <c r="D629" t="s">
        <v>73</v>
      </c>
      <c r="E629" t="s">
        <v>74</v>
      </c>
      <c r="F629" t="s">
        <v>141</v>
      </c>
      <c r="G629" s="1">
        <v>43893</v>
      </c>
      <c r="I629" t="s">
        <v>772</v>
      </c>
      <c r="J629">
        <v>2.25</v>
      </c>
      <c r="L629" t="s">
        <v>78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</row>
    <row r="630" spans="1:36" x14ac:dyDescent="0.2">
      <c r="A630" t="s">
        <v>100</v>
      </c>
      <c r="B630" t="s">
        <v>780</v>
      </c>
      <c r="C630" t="s">
        <v>102</v>
      </c>
      <c r="D630" t="s">
        <v>73</v>
      </c>
      <c r="E630" t="s">
        <v>74</v>
      </c>
      <c r="F630" t="s">
        <v>141</v>
      </c>
      <c r="G630" s="1">
        <v>43893</v>
      </c>
      <c r="I630" t="s">
        <v>772</v>
      </c>
      <c r="J630">
        <v>2.25</v>
      </c>
      <c r="L630" t="s">
        <v>78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</row>
    <row r="631" spans="1:36" x14ac:dyDescent="0.2">
      <c r="A631" t="s">
        <v>100</v>
      </c>
      <c r="B631" t="s">
        <v>781</v>
      </c>
      <c r="C631" t="s">
        <v>102</v>
      </c>
      <c r="D631" t="s">
        <v>73</v>
      </c>
      <c r="E631" t="s">
        <v>74</v>
      </c>
      <c r="F631" t="s">
        <v>141</v>
      </c>
      <c r="G631" s="1">
        <v>43893</v>
      </c>
      <c r="I631" t="s">
        <v>772</v>
      </c>
      <c r="J631">
        <v>2.25</v>
      </c>
      <c r="L631" t="s">
        <v>78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</row>
    <row r="632" spans="1:36" x14ac:dyDescent="0.2">
      <c r="A632" t="s">
        <v>100</v>
      </c>
      <c r="B632" t="s">
        <v>782</v>
      </c>
      <c r="C632" t="s">
        <v>102</v>
      </c>
      <c r="D632" t="s">
        <v>73</v>
      </c>
      <c r="E632" t="s">
        <v>74</v>
      </c>
      <c r="F632" t="s">
        <v>141</v>
      </c>
      <c r="G632" s="1">
        <v>43893</v>
      </c>
      <c r="I632" t="s">
        <v>772</v>
      </c>
      <c r="J632">
        <v>2.25</v>
      </c>
      <c r="L632" t="s">
        <v>78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</row>
    <row r="633" spans="1:36" x14ac:dyDescent="0.2">
      <c r="A633" t="s">
        <v>100</v>
      </c>
      <c r="B633" t="s">
        <v>783</v>
      </c>
      <c r="C633" t="s">
        <v>102</v>
      </c>
      <c r="D633" t="s">
        <v>73</v>
      </c>
      <c r="E633" t="s">
        <v>74</v>
      </c>
      <c r="F633" t="s">
        <v>141</v>
      </c>
      <c r="G633" s="1">
        <v>43893</v>
      </c>
      <c r="I633" t="s">
        <v>772</v>
      </c>
      <c r="J633">
        <v>2.25</v>
      </c>
      <c r="L633" t="s">
        <v>78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</row>
    <row r="634" spans="1:36" x14ac:dyDescent="0.2">
      <c r="A634" t="s">
        <v>100</v>
      </c>
      <c r="B634" t="s">
        <v>784</v>
      </c>
      <c r="C634" t="s">
        <v>102</v>
      </c>
      <c r="D634" t="s">
        <v>73</v>
      </c>
      <c r="E634" t="s">
        <v>74</v>
      </c>
      <c r="F634" t="s">
        <v>141</v>
      </c>
      <c r="G634" s="1">
        <v>43893</v>
      </c>
      <c r="I634" t="s">
        <v>772</v>
      </c>
      <c r="J634">
        <v>2.25</v>
      </c>
      <c r="L634" t="s">
        <v>78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</row>
    <row r="635" spans="1:36" x14ac:dyDescent="0.2">
      <c r="A635" t="s">
        <v>100</v>
      </c>
      <c r="B635" t="s">
        <v>785</v>
      </c>
      <c r="C635" t="s">
        <v>102</v>
      </c>
      <c r="D635" t="s">
        <v>73</v>
      </c>
      <c r="E635" t="s">
        <v>74</v>
      </c>
      <c r="F635" t="s">
        <v>141</v>
      </c>
      <c r="G635" s="1">
        <v>43893</v>
      </c>
      <c r="I635" t="s">
        <v>772</v>
      </c>
      <c r="J635">
        <v>2.25</v>
      </c>
      <c r="L635" t="s">
        <v>78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</row>
    <row r="636" spans="1:36" x14ac:dyDescent="0.2">
      <c r="A636" t="s">
        <v>690</v>
      </c>
      <c r="B636" t="s">
        <v>786</v>
      </c>
      <c r="C636" t="s">
        <v>692</v>
      </c>
      <c r="D636" t="s">
        <v>73</v>
      </c>
      <c r="E636" t="s">
        <v>74</v>
      </c>
      <c r="F636" t="s">
        <v>116</v>
      </c>
      <c r="G636" t="s">
        <v>787</v>
      </c>
      <c r="J636">
        <v>300</v>
      </c>
      <c r="L636" t="s">
        <v>78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</row>
    <row r="637" spans="1:36" x14ac:dyDescent="0.2">
      <c r="A637" t="s">
        <v>100</v>
      </c>
      <c r="B637" t="s">
        <v>788</v>
      </c>
      <c r="C637" t="s">
        <v>102</v>
      </c>
      <c r="D637" t="s">
        <v>73</v>
      </c>
      <c r="E637" t="s">
        <v>74</v>
      </c>
      <c r="F637" t="s">
        <v>141</v>
      </c>
      <c r="G637" t="s">
        <v>787</v>
      </c>
      <c r="I637" t="s">
        <v>772</v>
      </c>
      <c r="J637">
        <v>2.25</v>
      </c>
      <c r="L637" t="s">
        <v>78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</row>
    <row r="638" spans="1:36" x14ac:dyDescent="0.2">
      <c r="A638" t="s">
        <v>690</v>
      </c>
      <c r="B638" t="s">
        <v>789</v>
      </c>
      <c r="C638" t="s">
        <v>692</v>
      </c>
      <c r="D638" t="s">
        <v>73</v>
      </c>
      <c r="E638" t="s">
        <v>96</v>
      </c>
      <c r="F638" t="s">
        <v>141</v>
      </c>
      <c r="G638" s="1">
        <v>43688</v>
      </c>
      <c r="J638">
        <v>20</v>
      </c>
      <c r="L638" t="s">
        <v>78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E91C2-5407-DB47-80D0-976D2ED484F0}">
  <sheetPr codeName="Sheet5"/>
  <dimension ref="A1:N32"/>
  <sheetViews>
    <sheetView workbookViewId="0">
      <selection activeCell="C2" sqref="C2"/>
    </sheetView>
  </sheetViews>
  <sheetFormatPr baseColWidth="10" defaultRowHeight="16" x14ac:dyDescent="0.2"/>
  <sheetData>
    <row r="1" spans="1:14" x14ac:dyDescent="0.2">
      <c r="A1" s="11" t="s">
        <v>0</v>
      </c>
      <c r="B1" s="11" t="s">
        <v>1</v>
      </c>
      <c r="C1" s="11" t="s">
        <v>2</v>
      </c>
      <c r="D1" s="11" t="s">
        <v>3</v>
      </c>
      <c r="E1" s="11"/>
      <c r="F1" s="11"/>
      <c r="G1" s="11"/>
      <c r="H1" s="11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  <c r="N1" s="11" t="s">
        <v>32</v>
      </c>
    </row>
    <row r="2" spans="1:14" x14ac:dyDescent="0.2">
      <c r="A2" s="1">
        <v>45641</v>
      </c>
      <c r="B2" s="1">
        <v>45672</v>
      </c>
      <c r="C2" t="s">
        <v>818</v>
      </c>
      <c r="D2" s="12" t="s">
        <v>801</v>
      </c>
      <c r="E2" s="13" t="s">
        <v>803</v>
      </c>
      <c r="I2">
        <v>89994.04</v>
      </c>
      <c r="J2">
        <v>2530</v>
      </c>
      <c r="K2">
        <v>67812.47</v>
      </c>
      <c r="L2">
        <v>1980</v>
      </c>
      <c r="M2">
        <v>49.84</v>
      </c>
      <c r="N2" t="s">
        <v>33</v>
      </c>
    </row>
    <row r="3" spans="1:14" x14ac:dyDescent="0.2">
      <c r="A3" s="1">
        <v>45641</v>
      </c>
      <c r="B3" s="1">
        <v>45672</v>
      </c>
      <c r="C3" t="s">
        <v>818</v>
      </c>
      <c r="D3" s="12" t="s">
        <v>801</v>
      </c>
      <c r="E3" s="14" t="s">
        <v>256</v>
      </c>
      <c r="F3" s="13" t="s">
        <v>803</v>
      </c>
      <c r="I3">
        <v>18253.14</v>
      </c>
      <c r="J3">
        <v>509</v>
      </c>
      <c r="K3">
        <v>11672.85</v>
      </c>
      <c r="L3">
        <v>303</v>
      </c>
      <c r="M3">
        <v>10.11</v>
      </c>
      <c r="N3" t="s">
        <v>33</v>
      </c>
    </row>
    <row r="4" spans="1:14" x14ac:dyDescent="0.2">
      <c r="A4" s="1">
        <v>45641</v>
      </c>
      <c r="B4" s="1">
        <v>45672</v>
      </c>
      <c r="C4" t="s">
        <v>818</v>
      </c>
      <c r="D4" s="12" t="s">
        <v>799</v>
      </c>
      <c r="E4" s="13" t="s">
        <v>803</v>
      </c>
      <c r="I4">
        <v>18104.91</v>
      </c>
      <c r="J4">
        <v>394</v>
      </c>
      <c r="K4">
        <v>15792.41</v>
      </c>
      <c r="L4">
        <v>336</v>
      </c>
      <c r="M4">
        <v>10.029999999999999</v>
      </c>
      <c r="N4" t="s">
        <v>33</v>
      </c>
    </row>
    <row r="5" spans="1:14" x14ac:dyDescent="0.2">
      <c r="A5" s="1">
        <v>45641</v>
      </c>
      <c r="B5" s="1">
        <v>45672</v>
      </c>
      <c r="C5" t="s">
        <v>818</v>
      </c>
      <c r="D5" s="12" t="s">
        <v>799</v>
      </c>
      <c r="E5" s="14" t="s">
        <v>804</v>
      </c>
      <c r="F5" s="13" t="s">
        <v>803</v>
      </c>
      <c r="I5">
        <v>11117.63</v>
      </c>
      <c r="J5">
        <v>301</v>
      </c>
      <c r="K5">
        <v>8354.5300000000007</v>
      </c>
      <c r="L5">
        <v>206</v>
      </c>
      <c r="M5">
        <v>6.16</v>
      </c>
      <c r="N5" t="s">
        <v>33</v>
      </c>
    </row>
    <row r="6" spans="1:14" x14ac:dyDescent="0.2">
      <c r="A6" s="1">
        <v>45641</v>
      </c>
      <c r="B6" s="1">
        <v>45672</v>
      </c>
      <c r="C6" t="s">
        <v>818</v>
      </c>
      <c r="D6" s="12" t="s">
        <v>801</v>
      </c>
      <c r="E6" s="14" t="s">
        <v>805</v>
      </c>
      <c r="F6" s="13" t="s">
        <v>803</v>
      </c>
      <c r="I6">
        <v>10536.19</v>
      </c>
      <c r="J6">
        <v>187</v>
      </c>
      <c r="K6">
        <v>7378</v>
      </c>
      <c r="L6">
        <v>112</v>
      </c>
      <c r="M6">
        <v>6.15</v>
      </c>
      <c r="N6" t="s">
        <v>33</v>
      </c>
    </row>
    <row r="7" spans="1:14" x14ac:dyDescent="0.2">
      <c r="A7" s="1">
        <v>45641</v>
      </c>
      <c r="B7" s="1">
        <v>45672</v>
      </c>
      <c r="C7" t="s">
        <v>818</v>
      </c>
      <c r="D7" s="12" t="s">
        <v>802</v>
      </c>
      <c r="E7" s="14" t="s">
        <v>804</v>
      </c>
      <c r="F7" s="13" t="s">
        <v>803</v>
      </c>
      <c r="I7">
        <v>9045.0400000000009</v>
      </c>
      <c r="J7">
        <v>164</v>
      </c>
      <c r="K7">
        <v>7377.26</v>
      </c>
      <c r="L7">
        <v>123</v>
      </c>
      <c r="M7">
        <v>5.26</v>
      </c>
      <c r="N7" t="s">
        <v>33</v>
      </c>
    </row>
    <row r="8" spans="1:14" x14ac:dyDescent="0.2">
      <c r="A8" s="1">
        <v>45641</v>
      </c>
      <c r="B8" s="1">
        <v>45672</v>
      </c>
      <c r="C8" t="s">
        <v>818</v>
      </c>
      <c r="D8" s="12" t="s">
        <v>802</v>
      </c>
      <c r="E8" s="13" t="s">
        <v>803</v>
      </c>
      <c r="I8">
        <v>8316.74</v>
      </c>
      <c r="J8">
        <v>201</v>
      </c>
      <c r="K8">
        <v>7212.94</v>
      </c>
      <c r="L8">
        <v>173</v>
      </c>
      <c r="M8">
        <v>4.6100000000000003</v>
      </c>
      <c r="N8" t="s">
        <v>33</v>
      </c>
    </row>
    <row r="9" spans="1:14" x14ac:dyDescent="0.2">
      <c r="A9" s="1">
        <v>45641</v>
      </c>
      <c r="B9" s="1">
        <v>45671</v>
      </c>
      <c r="C9" t="s">
        <v>818</v>
      </c>
      <c r="D9" s="12" t="s">
        <v>802</v>
      </c>
      <c r="E9" s="14" t="s">
        <v>804</v>
      </c>
      <c r="F9" s="15" t="s">
        <v>256</v>
      </c>
      <c r="G9" t="s">
        <v>803</v>
      </c>
      <c r="I9">
        <v>3629.58</v>
      </c>
      <c r="J9">
        <v>65</v>
      </c>
      <c r="K9">
        <v>2564.25</v>
      </c>
      <c r="L9">
        <v>37</v>
      </c>
      <c r="M9">
        <v>3.26</v>
      </c>
      <c r="N9" t="s">
        <v>33</v>
      </c>
    </row>
    <row r="10" spans="1:14" x14ac:dyDescent="0.2">
      <c r="A10" s="1">
        <v>45641</v>
      </c>
      <c r="B10" s="1">
        <v>45672</v>
      </c>
      <c r="C10" t="s">
        <v>818</v>
      </c>
      <c r="D10" s="12" t="s">
        <v>801</v>
      </c>
      <c r="E10" s="14" t="s">
        <v>805</v>
      </c>
      <c r="F10" s="15" t="s">
        <v>256</v>
      </c>
      <c r="G10" t="s">
        <v>803</v>
      </c>
      <c r="I10">
        <v>3293.08</v>
      </c>
      <c r="J10">
        <v>89</v>
      </c>
      <c r="K10">
        <v>2141.8200000000002</v>
      </c>
      <c r="L10">
        <v>46</v>
      </c>
      <c r="M10">
        <v>2.08</v>
      </c>
      <c r="N10" t="s">
        <v>33</v>
      </c>
    </row>
    <row r="11" spans="1:14" x14ac:dyDescent="0.2">
      <c r="A11" s="1">
        <v>45641</v>
      </c>
      <c r="B11" s="1">
        <v>45665</v>
      </c>
      <c r="C11" t="s">
        <v>818</v>
      </c>
      <c r="D11" s="12" t="s">
        <v>801</v>
      </c>
      <c r="E11" s="14" t="s">
        <v>256</v>
      </c>
      <c r="F11" s="15" t="s">
        <v>805</v>
      </c>
      <c r="G11" t="s">
        <v>803</v>
      </c>
      <c r="I11">
        <v>2353.8000000000002</v>
      </c>
      <c r="J11">
        <v>49</v>
      </c>
      <c r="K11">
        <v>1390.95</v>
      </c>
      <c r="L11">
        <v>26</v>
      </c>
      <c r="M11">
        <v>1.65</v>
      </c>
      <c r="N11" t="s">
        <v>33</v>
      </c>
    </row>
    <row r="12" spans="1:14" x14ac:dyDescent="0.2">
      <c r="A12" s="1">
        <v>45641</v>
      </c>
      <c r="B12" s="1">
        <v>45671</v>
      </c>
      <c r="C12" t="s">
        <v>818</v>
      </c>
      <c r="D12" s="12" t="s">
        <v>799</v>
      </c>
      <c r="E12" s="14" t="s">
        <v>804</v>
      </c>
      <c r="F12" s="15" t="s">
        <v>805</v>
      </c>
      <c r="G12" t="s">
        <v>803</v>
      </c>
      <c r="I12">
        <v>1504.33</v>
      </c>
      <c r="J12">
        <v>19</v>
      </c>
      <c r="K12">
        <v>764.24</v>
      </c>
      <c r="L12">
        <v>10</v>
      </c>
      <c r="M12">
        <v>2.42</v>
      </c>
      <c r="N12" t="s">
        <v>33</v>
      </c>
    </row>
    <row r="13" spans="1:14" x14ac:dyDescent="0.2">
      <c r="A13" s="1">
        <v>45641</v>
      </c>
      <c r="B13" s="1">
        <v>45672</v>
      </c>
      <c r="C13" t="s">
        <v>818</v>
      </c>
      <c r="D13" s="12" t="s">
        <v>802</v>
      </c>
      <c r="E13" s="14" t="s">
        <v>256</v>
      </c>
      <c r="F13" s="13" t="s">
        <v>803</v>
      </c>
      <c r="I13">
        <v>1472.63</v>
      </c>
      <c r="J13">
        <v>33</v>
      </c>
      <c r="K13">
        <v>1320.79</v>
      </c>
      <c r="L13">
        <v>26</v>
      </c>
      <c r="M13">
        <v>1.37</v>
      </c>
      <c r="N13" t="s">
        <v>33</v>
      </c>
    </row>
    <row r="14" spans="1:14" x14ac:dyDescent="0.2">
      <c r="A14" s="1">
        <v>45641</v>
      </c>
      <c r="B14" s="1">
        <v>45669</v>
      </c>
      <c r="C14" t="s">
        <v>818</v>
      </c>
      <c r="D14" s="12" t="s">
        <v>799</v>
      </c>
      <c r="E14" s="14" t="s">
        <v>805</v>
      </c>
      <c r="F14" s="13" t="s">
        <v>803</v>
      </c>
      <c r="I14">
        <v>1434.26</v>
      </c>
      <c r="J14">
        <v>22</v>
      </c>
      <c r="K14">
        <v>1108.33</v>
      </c>
      <c r="L14">
        <v>12</v>
      </c>
      <c r="M14">
        <v>1.44</v>
      </c>
      <c r="N14" t="s">
        <v>33</v>
      </c>
    </row>
    <row r="15" spans="1:14" x14ac:dyDescent="0.2">
      <c r="A15" s="1">
        <v>45646</v>
      </c>
      <c r="B15" s="1">
        <v>45665</v>
      </c>
      <c r="C15" t="s">
        <v>818</v>
      </c>
      <c r="D15" s="12" t="s">
        <v>799</v>
      </c>
      <c r="E15" s="14" t="s">
        <v>805</v>
      </c>
      <c r="F15" s="15" t="s">
        <v>804</v>
      </c>
      <c r="G15" t="s">
        <v>803</v>
      </c>
      <c r="I15">
        <v>686.89</v>
      </c>
      <c r="J15">
        <v>9</v>
      </c>
      <c r="K15">
        <v>198.24</v>
      </c>
      <c r="L15">
        <v>7</v>
      </c>
      <c r="M15">
        <v>1.89</v>
      </c>
      <c r="N15" t="s">
        <v>33</v>
      </c>
    </row>
    <row r="16" spans="1:14" x14ac:dyDescent="0.2">
      <c r="A16" s="1">
        <v>45642</v>
      </c>
      <c r="B16" s="1">
        <v>45668</v>
      </c>
      <c r="C16" t="s">
        <v>818</v>
      </c>
      <c r="D16" s="12" t="s">
        <v>802</v>
      </c>
      <c r="E16" s="14" t="s">
        <v>256</v>
      </c>
      <c r="F16" s="15" t="s">
        <v>804</v>
      </c>
      <c r="G16" t="s">
        <v>803</v>
      </c>
      <c r="I16">
        <v>537.08000000000004</v>
      </c>
      <c r="J16">
        <v>15</v>
      </c>
      <c r="K16">
        <v>336.64</v>
      </c>
      <c r="L16">
        <v>10</v>
      </c>
      <c r="M16">
        <v>0.56999999999999995</v>
      </c>
      <c r="N16" t="s">
        <v>33</v>
      </c>
    </row>
    <row r="17" spans="1:14" x14ac:dyDescent="0.2">
      <c r="A17" s="1">
        <v>45643</v>
      </c>
      <c r="B17" s="1">
        <v>45662</v>
      </c>
      <c r="C17" t="s">
        <v>818</v>
      </c>
      <c r="D17" s="12" t="s">
        <v>800</v>
      </c>
      <c r="E17" s="13" t="s">
        <v>803</v>
      </c>
      <c r="I17">
        <v>137.04</v>
      </c>
      <c r="J17">
        <v>6</v>
      </c>
      <c r="K17">
        <v>137.04</v>
      </c>
      <c r="L17">
        <v>6</v>
      </c>
      <c r="M17">
        <v>0.44</v>
      </c>
      <c r="N17" t="s">
        <v>33</v>
      </c>
    </row>
    <row r="18" spans="1:14" x14ac:dyDescent="0.2">
      <c r="A18" s="1">
        <v>45644</v>
      </c>
      <c r="B18" s="1">
        <v>45672</v>
      </c>
      <c r="C18" t="s">
        <v>818</v>
      </c>
      <c r="D18" s="12" t="s">
        <v>801</v>
      </c>
      <c r="E18" s="14" t="s">
        <v>796</v>
      </c>
      <c r="F18" s="13" t="s">
        <v>803</v>
      </c>
      <c r="I18">
        <v>40.6</v>
      </c>
      <c r="J18">
        <v>2</v>
      </c>
      <c r="K18">
        <v>40.6</v>
      </c>
      <c r="L18">
        <v>2</v>
      </c>
      <c r="M18">
        <v>0.23</v>
      </c>
      <c r="N18" t="s">
        <v>33</v>
      </c>
    </row>
    <row r="19" spans="1:14" x14ac:dyDescent="0.2">
      <c r="A19" s="1">
        <v>45649</v>
      </c>
      <c r="B19" s="1">
        <v>45649</v>
      </c>
      <c r="C19" t="s">
        <v>818</v>
      </c>
      <c r="D19" s="12" t="s">
        <v>801</v>
      </c>
      <c r="E19" s="14" t="s">
        <v>796</v>
      </c>
      <c r="F19" s="15" t="s">
        <v>256</v>
      </c>
      <c r="G19" t="s">
        <v>803</v>
      </c>
      <c r="I19">
        <v>34.950000000000003</v>
      </c>
      <c r="J19">
        <v>1</v>
      </c>
      <c r="K19">
        <v>34.950000000000003</v>
      </c>
      <c r="L19">
        <v>1</v>
      </c>
      <c r="M19">
        <v>0.67</v>
      </c>
      <c r="N19" t="s">
        <v>33</v>
      </c>
    </row>
    <row r="20" spans="1:14" x14ac:dyDescent="0.2">
      <c r="A20" s="1">
        <v>45649</v>
      </c>
      <c r="B20" s="1">
        <v>45649</v>
      </c>
      <c r="C20" t="s">
        <v>818</v>
      </c>
      <c r="D20" s="12" t="s">
        <v>800</v>
      </c>
      <c r="E20" s="14" t="s">
        <v>804</v>
      </c>
      <c r="F20" s="13" t="s">
        <v>803</v>
      </c>
      <c r="I20">
        <v>21.99</v>
      </c>
      <c r="J20">
        <v>1</v>
      </c>
      <c r="K20">
        <v>0</v>
      </c>
      <c r="L20">
        <v>0</v>
      </c>
      <c r="M20">
        <v>0.42</v>
      </c>
      <c r="N20" t="s">
        <v>33</v>
      </c>
    </row>
    <row r="21" spans="1:14" x14ac:dyDescent="0.2">
      <c r="A21" s="1">
        <v>45655</v>
      </c>
      <c r="B21" s="1">
        <v>45655</v>
      </c>
      <c r="C21" t="s">
        <v>818</v>
      </c>
      <c r="D21" s="12" t="s">
        <v>800</v>
      </c>
      <c r="E21" s="14" t="s">
        <v>804</v>
      </c>
      <c r="F21" s="15" t="s">
        <v>256</v>
      </c>
      <c r="G21" s="16" t="s">
        <v>805</v>
      </c>
      <c r="H21" s="13" t="s">
        <v>798</v>
      </c>
      <c r="I21">
        <v>21.67</v>
      </c>
      <c r="J21">
        <v>1</v>
      </c>
      <c r="K21">
        <v>0</v>
      </c>
      <c r="L21">
        <v>0</v>
      </c>
      <c r="M21">
        <v>0.64</v>
      </c>
      <c r="N21" t="s">
        <v>33</v>
      </c>
    </row>
    <row r="22" spans="1:14" x14ac:dyDescent="0.2">
      <c r="A22" s="1">
        <v>45647</v>
      </c>
      <c r="B22" s="1">
        <v>45647</v>
      </c>
      <c r="C22" t="s">
        <v>818</v>
      </c>
      <c r="D22" s="12" t="s">
        <v>802</v>
      </c>
      <c r="E22" s="14" t="s">
        <v>796</v>
      </c>
      <c r="F22" s="13" t="s">
        <v>803</v>
      </c>
      <c r="I22">
        <v>20.69</v>
      </c>
      <c r="J22">
        <v>1</v>
      </c>
      <c r="K22">
        <v>0</v>
      </c>
      <c r="L22">
        <v>0</v>
      </c>
      <c r="M22">
        <v>0.16</v>
      </c>
      <c r="N22" t="s">
        <v>33</v>
      </c>
    </row>
    <row r="23" spans="1:14" x14ac:dyDescent="0.2">
      <c r="A23" s="1">
        <v>45644</v>
      </c>
      <c r="B23" s="1">
        <v>45644</v>
      </c>
      <c r="C23" t="s">
        <v>818</v>
      </c>
      <c r="D23" s="12" t="s">
        <v>799</v>
      </c>
      <c r="E23" s="14" t="s">
        <v>796</v>
      </c>
      <c r="F23" s="13" t="s">
        <v>803</v>
      </c>
      <c r="I23">
        <v>18.61</v>
      </c>
      <c r="J23">
        <v>1</v>
      </c>
      <c r="K23">
        <v>18.61</v>
      </c>
      <c r="L23">
        <v>1</v>
      </c>
      <c r="M23">
        <v>0.12</v>
      </c>
      <c r="N23" t="s">
        <v>33</v>
      </c>
    </row>
    <row r="27" spans="1:14" ht="51" x14ac:dyDescent="0.2">
      <c r="A27" s="7" t="s">
        <v>792</v>
      </c>
      <c r="B27" s="7" t="s">
        <v>793</v>
      </c>
      <c r="C27" s="7" t="s">
        <v>56</v>
      </c>
      <c r="D27" s="7" t="s">
        <v>794</v>
      </c>
      <c r="E27" s="7" t="s">
        <v>52</v>
      </c>
      <c r="F27" s="7" t="s">
        <v>795</v>
      </c>
      <c r="G27" s="8" t="s">
        <v>791</v>
      </c>
      <c r="H27" s="7" t="s">
        <v>807</v>
      </c>
      <c r="I27" s="17" t="s">
        <v>808</v>
      </c>
    </row>
    <row r="28" spans="1:14" x14ac:dyDescent="0.2">
      <c r="A28" s="4" t="s">
        <v>73</v>
      </c>
      <c r="B28" s="9">
        <v>67812.47</v>
      </c>
      <c r="C28" s="10">
        <v>1980</v>
      </c>
      <c r="D28" s="6">
        <v>121451.32999999999</v>
      </c>
      <c r="E28" s="4">
        <v>3303</v>
      </c>
      <c r="F28" s="6">
        <v>23317.470000000008</v>
      </c>
      <c r="G28" s="5">
        <f>F28/D28</f>
        <v>0.19199024004101076</v>
      </c>
    </row>
    <row r="29" spans="1:14" x14ac:dyDescent="0.2">
      <c r="A29" s="4" t="s">
        <v>256</v>
      </c>
      <c r="B29" s="6">
        <v>13428.34</v>
      </c>
      <c r="C29" s="4">
        <v>316</v>
      </c>
      <c r="D29" s="6">
        <v>4206.57</v>
      </c>
      <c r="E29" s="4">
        <v>412</v>
      </c>
      <c r="F29" s="6">
        <v>488.86</v>
      </c>
      <c r="G29" s="5">
        <f t="shared" ref="G29:G31" si="0">F29/D29</f>
        <v>0.11621344706019394</v>
      </c>
      <c r="H29">
        <v>24366.799999999999</v>
      </c>
      <c r="I29" s="3">
        <f>F29/H29</f>
        <v>2.0062544117405653E-2</v>
      </c>
    </row>
    <row r="30" spans="1:14" x14ac:dyDescent="0.2">
      <c r="A30" s="4" t="s">
        <v>498</v>
      </c>
      <c r="B30" s="6">
        <v>3289.65</v>
      </c>
      <c r="C30" s="4">
        <v>58</v>
      </c>
      <c r="D30" s="6">
        <v>4437.8900000000003</v>
      </c>
      <c r="E30" s="4">
        <v>87</v>
      </c>
      <c r="F30" s="6">
        <v>480.61</v>
      </c>
      <c r="G30" s="5">
        <f t="shared" si="0"/>
        <v>0.1082969609431509</v>
      </c>
      <c r="H30">
        <v>23578.1</v>
      </c>
    </row>
    <row r="31" spans="1:14" x14ac:dyDescent="0.2">
      <c r="A31" s="4" t="s">
        <v>490</v>
      </c>
      <c r="B31" s="6">
        <v>14094.36</v>
      </c>
      <c r="C31" s="4">
        <v>265</v>
      </c>
      <c r="D31" s="6">
        <v>16513.740000000002</v>
      </c>
      <c r="E31" s="4">
        <v>338</v>
      </c>
      <c r="F31" s="6">
        <v>5071.99</v>
      </c>
      <c r="G31" s="5">
        <f t="shared" si="0"/>
        <v>0.30713757150106513</v>
      </c>
      <c r="H31">
        <v>13797.6</v>
      </c>
    </row>
    <row r="32" spans="1:14" x14ac:dyDescent="0.2">
      <c r="A32" s="18" t="s">
        <v>790</v>
      </c>
      <c r="B32" s="19">
        <v>30812.350000000002</v>
      </c>
      <c r="C32" s="18">
        <v>639</v>
      </c>
      <c r="D32" s="19">
        <v>158609.52999999997</v>
      </c>
      <c r="E32" s="18">
        <v>4140</v>
      </c>
      <c r="F32" s="19">
        <v>29358.930000000008</v>
      </c>
      <c r="G32" s="1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7E288-E185-F448-BB05-3328DDCBA4B9}">
  <sheetPr codeName="Sheet4" filterMode="1"/>
  <dimension ref="A1:N23"/>
  <sheetViews>
    <sheetView zoomScale="130" zoomScaleNormal="130" workbookViewId="0">
      <selection activeCell="E1" sqref="E1"/>
    </sheetView>
  </sheetViews>
  <sheetFormatPr baseColWidth="10" defaultRowHeight="16" x14ac:dyDescent="0.2"/>
  <cols>
    <col min="4" max="9" width="44.33203125" customWidth="1"/>
    <col min="12" max="12" width="27.1640625" customWidth="1"/>
    <col min="13" max="13" width="24.5" customWidth="1"/>
  </cols>
  <sheetData>
    <row r="1" spans="1:14" x14ac:dyDescent="0.2">
      <c r="A1" s="24" t="s">
        <v>0</v>
      </c>
      <c r="B1" s="24" t="s">
        <v>1</v>
      </c>
      <c r="C1" s="24" t="s">
        <v>2</v>
      </c>
      <c r="D1" s="24" t="s">
        <v>3</v>
      </c>
      <c r="E1" s="24" t="s">
        <v>813</v>
      </c>
      <c r="F1" s="24"/>
      <c r="G1" s="24"/>
      <c r="H1" s="24"/>
      <c r="I1" s="24"/>
      <c r="J1" s="24" t="s">
        <v>4</v>
      </c>
      <c r="K1" s="24" t="s">
        <v>5</v>
      </c>
      <c r="L1" s="24" t="s">
        <v>6</v>
      </c>
      <c r="M1" s="24" t="s">
        <v>7</v>
      </c>
      <c r="N1" s="24" t="s">
        <v>8</v>
      </c>
    </row>
    <row r="2" spans="1:14" hidden="1" x14ac:dyDescent="0.2">
      <c r="A2" s="25">
        <v>45641</v>
      </c>
      <c r="B2" s="25">
        <v>45672</v>
      </c>
      <c r="C2" s="4" t="s">
        <v>9</v>
      </c>
      <c r="D2" s="4" t="s">
        <v>31</v>
      </c>
      <c r="E2" s="26" t="s">
        <v>801</v>
      </c>
      <c r="F2" s="28" t="s">
        <v>803</v>
      </c>
      <c r="G2" s="4"/>
      <c r="H2" s="4"/>
      <c r="I2" s="4"/>
      <c r="J2" s="4">
        <v>89994.04</v>
      </c>
      <c r="K2" s="4">
        <v>2530</v>
      </c>
      <c r="L2" s="4">
        <v>67812.47</v>
      </c>
      <c r="M2" s="4">
        <v>1980</v>
      </c>
      <c r="N2" s="4">
        <v>49.84</v>
      </c>
    </row>
    <row r="3" spans="1:14" hidden="1" x14ac:dyDescent="0.2">
      <c r="A3" s="25">
        <v>45641</v>
      </c>
      <c r="B3" s="25">
        <v>45672</v>
      </c>
      <c r="C3" s="4" t="s">
        <v>9</v>
      </c>
      <c r="D3" s="4" t="s">
        <v>17</v>
      </c>
      <c r="E3" s="26" t="s">
        <v>801</v>
      </c>
      <c r="F3" s="27" t="s">
        <v>812</v>
      </c>
      <c r="G3" s="28" t="s">
        <v>803</v>
      </c>
      <c r="H3" s="4"/>
      <c r="I3" s="4"/>
      <c r="J3" s="4">
        <v>18253.14</v>
      </c>
      <c r="K3" s="4">
        <v>509</v>
      </c>
      <c r="L3" s="4">
        <v>11672.85</v>
      </c>
      <c r="M3" s="4">
        <v>303</v>
      </c>
      <c r="N3" s="4">
        <v>10.11</v>
      </c>
    </row>
    <row r="4" spans="1:14" hidden="1" x14ac:dyDescent="0.2">
      <c r="A4" s="25">
        <v>45641</v>
      </c>
      <c r="B4" s="25">
        <v>45672</v>
      </c>
      <c r="C4" s="4" t="s">
        <v>9</v>
      </c>
      <c r="D4" s="4" t="s">
        <v>13</v>
      </c>
      <c r="E4" s="26" t="s">
        <v>806</v>
      </c>
      <c r="F4" s="27" t="s">
        <v>804</v>
      </c>
      <c r="G4" s="28" t="s">
        <v>803</v>
      </c>
      <c r="H4" s="4"/>
      <c r="I4" s="4"/>
      <c r="J4" s="4">
        <v>11117.63</v>
      </c>
      <c r="K4" s="4">
        <v>301</v>
      </c>
      <c r="L4" s="4">
        <v>8354.5300000000007</v>
      </c>
      <c r="M4" s="4">
        <v>206</v>
      </c>
      <c r="N4" s="4">
        <v>6.16</v>
      </c>
    </row>
    <row r="5" spans="1:14" hidden="1" x14ac:dyDescent="0.2">
      <c r="A5" s="25">
        <v>45641</v>
      </c>
      <c r="B5" s="25">
        <v>45672</v>
      </c>
      <c r="C5" s="4" t="s">
        <v>9</v>
      </c>
      <c r="D5" s="4" t="s">
        <v>27</v>
      </c>
      <c r="E5" s="26" t="s">
        <v>801</v>
      </c>
      <c r="F5" s="27" t="s">
        <v>810</v>
      </c>
      <c r="G5" s="28" t="s">
        <v>803</v>
      </c>
      <c r="H5" s="4"/>
      <c r="I5" s="4"/>
      <c r="J5" s="4">
        <v>10536.19</v>
      </c>
      <c r="K5" s="4">
        <v>187</v>
      </c>
      <c r="L5" s="4">
        <v>7378</v>
      </c>
      <c r="M5" s="4">
        <v>112</v>
      </c>
      <c r="N5" s="4">
        <v>6.15</v>
      </c>
    </row>
    <row r="6" spans="1:14" hidden="1" x14ac:dyDescent="0.2">
      <c r="A6" s="25">
        <v>45641</v>
      </c>
      <c r="B6" s="25">
        <v>45672</v>
      </c>
      <c r="C6" s="4" t="s">
        <v>9</v>
      </c>
      <c r="D6" s="4" t="s">
        <v>24</v>
      </c>
      <c r="E6" s="26" t="s">
        <v>809</v>
      </c>
      <c r="F6" s="27" t="s">
        <v>804</v>
      </c>
      <c r="G6" s="28" t="s">
        <v>803</v>
      </c>
      <c r="H6" s="4"/>
      <c r="I6" s="4"/>
      <c r="J6" s="4">
        <v>9045.0400000000009</v>
      </c>
      <c r="K6" s="4">
        <v>164</v>
      </c>
      <c r="L6" s="4">
        <v>7377.26</v>
      </c>
      <c r="M6" s="4">
        <v>123</v>
      </c>
      <c r="N6" s="4">
        <v>5.26</v>
      </c>
    </row>
    <row r="7" spans="1:14" hidden="1" x14ac:dyDescent="0.2">
      <c r="A7" s="25">
        <v>45641</v>
      </c>
      <c r="B7" s="25">
        <v>45672</v>
      </c>
      <c r="C7" s="4" t="s">
        <v>9</v>
      </c>
      <c r="D7" s="4" t="s">
        <v>12</v>
      </c>
      <c r="E7" s="26" t="s">
        <v>809</v>
      </c>
      <c r="F7" s="28" t="s">
        <v>803</v>
      </c>
      <c r="G7" s="4"/>
      <c r="H7" s="4"/>
      <c r="I7" s="4"/>
      <c r="J7" s="4">
        <v>8316.74</v>
      </c>
      <c r="K7" s="4">
        <v>201</v>
      </c>
      <c r="L7" s="4">
        <v>7212.94</v>
      </c>
      <c r="M7" s="4">
        <v>173</v>
      </c>
      <c r="N7" s="4">
        <v>4.6100000000000003</v>
      </c>
    </row>
    <row r="8" spans="1:14" hidden="1" x14ac:dyDescent="0.2">
      <c r="A8" s="25">
        <v>45641</v>
      </c>
      <c r="B8" s="25">
        <v>45672</v>
      </c>
      <c r="C8" s="4" t="s">
        <v>9</v>
      </c>
      <c r="D8" s="4" t="s">
        <v>25</v>
      </c>
      <c r="E8" s="26" t="s">
        <v>806</v>
      </c>
      <c r="F8" s="28" t="s">
        <v>803</v>
      </c>
      <c r="G8" s="4"/>
      <c r="H8" s="4"/>
      <c r="I8" s="4"/>
      <c r="J8" s="4">
        <v>2091</v>
      </c>
      <c r="K8" s="4">
        <v>394</v>
      </c>
      <c r="L8" s="4">
        <v>4571</v>
      </c>
      <c r="M8" s="4">
        <v>336</v>
      </c>
      <c r="N8" s="4">
        <v>10.029999999999999</v>
      </c>
    </row>
    <row r="9" spans="1:14" hidden="1" x14ac:dyDescent="0.2">
      <c r="A9" s="25">
        <v>45641</v>
      </c>
      <c r="B9" s="25">
        <v>45671</v>
      </c>
      <c r="C9" s="4" t="s">
        <v>9</v>
      </c>
      <c r="D9" s="4" t="s">
        <v>11</v>
      </c>
      <c r="E9" s="26" t="s">
        <v>809</v>
      </c>
      <c r="F9" s="27" t="s">
        <v>804</v>
      </c>
      <c r="G9" s="29" t="s">
        <v>812</v>
      </c>
      <c r="H9" s="28" t="s">
        <v>803</v>
      </c>
      <c r="I9" s="4"/>
      <c r="J9" s="4">
        <v>3629.58</v>
      </c>
      <c r="K9" s="4">
        <v>65</v>
      </c>
      <c r="L9" s="4">
        <v>2564.25</v>
      </c>
      <c r="M9" s="4">
        <v>37</v>
      </c>
      <c r="N9" s="4">
        <v>3.26</v>
      </c>
    </row>
    <row r="10" spans="1:14" hidden="1" x14ac:dyDescent="0.2">
      <c r="A10" s="25">
        <v>45641</v>
      </c>
      <c r="B10" s="25">
        <v>45672</v>
      </c>
      <c r="C10" s="4" t="s">
        <v>9</v>
      </c>
      <c r="D10" s="4" t="s">
        <v>18</v>
      </c>
      <c r="E10" s="26" t="s">
        <v>801</v>
      </c>
      <c r="F10" s="27" t="s">
        <v>810</v>
      </c>
      <c r="G10" s="29" t="s">
        <v>812</v>
      </c>
      <c r="H10" s="28" t="s">
        <v>803</v>
      </c>
      <c r="I10" s="4"/>
      <c r="J10" s="4">
        <v>3293.08</v>
      </c>
      <c r="K10" s="4">
        <v>89</v>
      </c>
      <c r="L10" s="4">
        <v>2141.8200000000002</v>
      </c>
      <c r="M10" s="4">
        <v>46</v>
      </c>
      <c r="N10" s="4">
        <v>2.08</v>
      </c>
    </row>
    <row r="11" spans="1:14" hidden="1" x14ac:dyDescent="0.2">
      <c r="A11" s="25">
        <v>45641</v>
      </c>
      <c r="B11" s="25">
        <v>45665</v>
      </c>
      <c r="C11" s="4" t="s">
        <v>9</v>
      </c>
      <c r="D11" s="4" t="s">
        <v>26</v>
      </c>
      <c r="E11" s="26" t="s">
        <v>801</v>
      </c>
      <c r="F11" s="27" t="s">
        <v>812</v>
      </c>
      <c r="G11" s="29" t="s">
        <v>810</v>
      </c>
      <c r="H11" s="28" t="s">
        <v>803</v>
      </c>
      <c r="I11" s="4"/>
      <c r="J11" s="4">
        <v>2353.8000000000002</v>
      </c>
      <c r="K11" s="4">
        <v>49</v>
      </c>
      <c r="L11" s="4">
        <v>1390.95</v>
      </c>
      <c r="M11" s="4">
        <v>26</v>
      </c>
      <c r="N11" s="4">
        <v>1.65</v>
      </c>
    </row>
    <row r="12" spans="1:14" hidden="1" x14ac:dyDescent="0.2">
      <c r="A12" s="25">
        <v>45641</v>
      </c>
      <c r="B12" s="25">
        <v>45671</v>
      </c>
      <c r="C12" s="4" t="s">
        <v>9</v>
      </c>
      <c r="D12" s="4" t="s">
        <v>23</v>
      </c>
      <c r="E12" s="26" t="s">
        <v>806</v>
      </c>
      <c r="F12" s="27" t="s">
        <v>804</v>
      </c>
      <c r="G12" s="29" t="s">
        <v>810</v>
      </c>
      <c r="H12" s="28" t="s">
        <v>803</v>
      </c>
      <c r="I12" s="4"/>
      <c r="J12" s="4">
        <v>1504.33</v>
      </c>
      <c r="K12" s="4">
        <v>19</v>
      </c>
      <c r="L12" s="4">
        <v>764.24</v>
      </c>
      <c r="M12" s="4">
        <v>10</v>
      </c>
      <c r="N12" s="4">
        <v>2.42</v>
      </c>
    </row>
    <row r="13" spans="1:14" hidden="1" x14ac:dyDescent="0.2">
      <c r="A13" s="25">
        <v>45641</v>
      </c>
      <c r="B13" s="25">
        <v>45672</v>
      </c>
      <c r="C13" s="4" t="s">
        <v>9</v>
      </c>
      <c r="D13" s="4" t="s">
        <v>20</v>
      </c>
      <c r="E13" s="26" t="s">
        <v>809</v>
      </c>
      <c r="F13" s="27" t="s">
        <v>812</v>
      </c>
      <c r="G13" s="28" t="s">
        <v>803</v>
      </c>
      <c r="H13" s="4"/>
      <c r="I13" s="4"/>
      <c r="J13" s="4">
        <v>1472.63</v>
      </c>
      <c r="K13" s="4">
        <v>33</v>
      </c>
      <c r="L13" s="4">
        <v>1320.79</v>
      </c>
      <c r="M13" s="4">
        <v>26</v>
      </c>
      <c r="N13" s="4">
        <v>1.37</v>
      </c>
    </row>
    <row r="14" spans="1:14" hidden="1" x14ac:dyDescent="0.2">
      <c r="A14" s="25">
        <v>45641</v>
      </c>
      <c r="B14" s="25">
        <v>45669</v>
      </c>
      <c r="C14" s="4" t="s">
        <v>9</v>
      </c>
      <c r="D14" s="4" t="s">
        <v>30</v>
      </c>
      <c r="E14" s="26" t="s">
        <v>806</v>
      </c>
      <c r="F14" s="27" t="s">
        <v>810</v>
      </c>
      <c r="G14" s="28" t="s">
        <v>803</v>
      </c>
      <c r="H14" s="4"/>
      <c r="I14" s="4"/>
      <c r="J14" s="4">
        <v>1434.26</v>
      </c>
      <c r="K14" s="4">
        <v>22</v>
      </c>
      <c r="L14" s="4">
        <v>1108.33</v>
      </c>
      <c r="M14" s="4">
        <v>12</v>
      </c>
      <c r="N14" s="4">
        <v>1.44</v>
      </c>
    </row>
    <row r="15" spans="1:14" hidden="1" x14ac:dyDescent="0.2">
      <c r="A15" s="25">
        <v>45646</v>
      </c>
      <c r="B15" s="25">
        <v>45665</v>
      </c>
      <c r="C15" s="4" t="s">
        <v>9</v>
      </c>
      <c r="D15" s="4" t="s">
        <v>14</v>
      </c>
      <c r="E15" s="26" t="s">
        <v>806</v>
      </c>
      <c r="F15" s="27" t="s">
        <v>810</v>
      </c>
      <c r="G15" s="29" t="s">
        <v>804</v>
      </c>
      <c r="H15" s="28" t="s">
        <v>803</v>
      </c>
      <c r="I15" s="4"/>
      <c r="J15" s="4">
        <v>686.89</v>
      </c>
      <c r="K15" s="4">
        <v>9</v>
      </c>
      <c r="L15" s="4">
        <v>198.24</v>
      </c>
      <c r="M15" s="4">
        <v>7</v>
      </c>
      <c r="N15" s="4">
        <v>1.89</v>
      </c>
    </row>
    <row r="16" spans="1:14" hidden="1" x14ac:dyDescent="0.2">
      <c r="A16" s="25">
        <v>45642</v>
      </c>
      <c r="B16" s="25">
        <v>45668</v>
      </c>
      <c r="C16" s="4" t="s">
        <v>9</v>
      </c>
      <c r="D16" s="4" t="s">
        <v>19</v>
      </c>
      <c r="E16" s="26" t="s">
        <v>809</v>
      </c>
      <c r="F16" s="27" t="s">
        <v>812</v>
      </c>
      <c r="G16" s="29" t="s">
        <v>804</v>
      </c>
      <c r="H16" s="28" t="s">
        <v>803</v>
      </c>
      <c r="I16" s="4"/>
      <c r="J16" s="4">
        <v>537.08000000000004</v>
      </c>
      <c r="K16" s="4">
        <v>15</v>
      </c>
      <c r="L16" s="4">
        <v>336.64</v>
      </c>
      <c r="M16" s="4">
        <v>10</v>
      </c>
      <c r="N16" s="4">
        <v>0.56999999999999995</v>
      </c>
    </row>
    <row r="17" spans="1:14" x14ac:dyDescent="0.2">
      <c r="A17" s="25">
        <v>45643</v>
      </c>
      <c r="B17" s="25">
        <v>45662</v>
      </c>
      <c r="C17" s="4" t="s">
        <v>818</v>
      </c>
      <c r="D17" s="4" t="s">
        <v>22</v>
      </c>
      <c r="E17" s="26" t="s">
        <v>800</v>
      </c>
      <c r="F17" s="28" t="s">
        <v>803</v>
      </c>
      <c r="G17" s="4"/>
      <c r="H17" s="4"/>
      <c r="I17" s="4"/>
      <c r="J17" s="4">
        <v>137.04</v>
      </c>
      <c r="K17" s="4">
        <v>6</v>
      </c>
      <c r="L17" s="4">
        <v>137.04</v>
      </c>
      <c r="M17" s="4">
        <v>6</v>
      </c>
      <c r="N17" s="4">
        <v>0.44</v>
      </c>
    </row>
    <row r="18" spans="1:14" x14ac:dyDescent="0.2">
      <c r="A18" s="25">
        <v>45644</v>
      </c>
      <c r="B18" s="25">
        <v>45672</v>
      </c>
      <c r="C18" s="4" t="s">
        <v>818</v>
      </c>
      <c r="D18" s="4" t="s">
        <v>16</v>
      </c>
      <c r="E18" s="26" t="s">
        <v>801</v>
      </c>
      <c r="F18" s="27" t="s">
        <v>811</v>
      </c>
      <c r="G18" s="28" t="s">
        <v>803</v>
      </c>
      <c r="H18" s="4"/>
      <c r="I18" s="4"/>
      <c r="J18" s="4">
        <v>40.6</v>
      </c>
      <c r="K18" s="4">
        <v>2</v>
      </c>
      <c r="L18" s="4">
        <v>40.6</v>
      </c>
      <c r="M18" s="4">
        <v>2</v>
      </c>
      <c r="N18" s="4">
        <v>0.23</v>
      </c>
    </row>
    <row r="19" spans="1:14" x14ac:dyDescent="0.2">
      <c r="A19" s="25">
        <v>45649</v>
      </c>
      <c r="B19" s="25">
        <v>45649</v>
      </c>
      <c r="C19" s="4" t="s">
        <v>818</v>
      </c>
      <c r="D19" s="4" t="s">
        <v>29</v>
      </c>
      <c r="E19" s="26" t="s">
        <v>801</v>
      </c>
      <c r="F19" s="27" t="s">
        <v>811</v>
      </c>
      <c r="G19" s="29" t="s">
        <v>812</v>
      </c>
      <c r="H19" s="28" t="s">
        <v>803</v>
      </c>
      <c r="I19" s="4"/>
      <c r="J19" s="4">
        <v>34.950000000000003</v>
      </c>
      <c r="K19" s="4">
        <v>1</v>
      </c>
      <c r="L19" s="4">
        <v>34.950000000000003</v>
      </c>
      <c r="M19" s="4">
        <v>1</v>
      </c>
      <c r="N19" s="4">
        <v>0.67</v>
      </c>
    </row>
    <row r="20" spans="1:14" x14ac:dyDescent="0.2">
      <c r="A20" s="25">
        <v>45649</v>
      </c>
      <c r="B20" s="25">
        <v>45649</v>
      </c>
      <c r="C20" s="4" t="s">
        <v>818</v>
      </c>
      <c r="D20" s="4" t="s">
        <v>10</v>
      </c>
      <c r="E20" s="26" t="s">
        <v>800</v>
      </c>
      <c r="F20" s="27" t="s">
        <v>804</v>
      </c>
      <c r="G20" s="28" t="s">
        <v>803</v>
      </c>
      <c r="H20" s="4"/>
      <c r="I20" s="4"/>
      <c r="J20" s="4">
        <v>21.99</v>
      </c>
      <c r="K20" s="4">
        <v>1</v>
      </c>
      <c r="L20" s="4">
        <v>0</v>
      </c>
      <c r="M20" s="4">
        <v>0</v>
      </c>
      <c r="N20" s="4">
        <v>0.42</v>
      </c>
    </row>
    <row r="21" spans="1:14" x14ac:dyDescent="0.2">
      <c r="A21" s="25">
        <v>45655</v>
      </c>
      <c r="B21" s="25">
        <v>45655</v>
      </c>
      <c r="C21" s="4" t="s">
        <v>818</v>
      </c>
      <c r="D21" s="4" t="s">
        <v>21</v>
      </c>
      <c r="E21" s="26" t="s">
        <v>800</v>
      </c>
      <c r="F21" s="27" t="s">
        <v>804</v>
      </c>
      <c r="G21" s="29" t="s">
        <v>812</v>
      </c>
      <c r="H21" s="30" t="s">
        <v>810</v>
      </c>
      <c r="I21" s="28" t="s">
        <v>803</v>
      </c>
      <c r="J21" s="4">
        <v>21.67</v>
      </c>
      <c r="K21" s="4">
        <v>1</v>
      </c>
      <c r="L21" s="4">
        <v>0</v>
      </c>
      <c r="M21" s="4">
        <v>0</v>
      </c>
      <c r="N21" s="4">
        <v>0.64</v>
      </c>
    </row>
    <row r="22" spans="1:14" x14ac:dyDescent="0.2">
      <c r="A22" s="25">
        <v>45647</v>
      </c>
      <c r="B22" s="25">
        <v>45647</v>
      </c>
      <c r="C22" s="4" t="s">
        <v>818</v>
      </c>
      <c r="D22" s="4" t="s">
        <v>15</v>
      </c>
      <c r="E22" s="26" t="s">
        <v>809</v>
      </c>
      <c r="F22" s="27" t="s">
        <v>811</v>
      </c>
      <c r="G22" s="28" t="s">
        <v>803</v>
      </c>
      <c r="H22" s="4"/>
      <c r="I22" s="4"/>
      <c r="J22" s="4">
        <v>20.69</v>
      </c>
      <c r="K22" s="4">
        <v>1</v>
      </c>
      <c r="L22" s="4">
        <v>0</v>
      </c>
      <c r="M22" s="4">
        <v>0</v>
      </c>
      <c r="N22" s="4">
        <v>0.16</v>
      </c>
    </row>
    <row r="23" spans="1:14" x14ac:dyDescent="0.2">
      <c r="A23" s="25">
        <v>45644</v>
      </c>
      <c r="B23" s="25">
        <v>45644</v>
      </c>
      <c r="C23" s="4" t="s">
        <v>818</v>
      </c>
      <c r="D23" s="4" t="s">
        <v>28</v>
      </c>
      <c r="E23" s="26" t="s">
        <v>806</v>
      </c>
      <c r="F23" s="27" t="s">
        <v>811</v>
      </c>
      <c r="G23" s="28" t="s">
        <v>803</v>
      </c>
      <c r="H23" s="4"/>
      <c r="I23" s="4"/>
      <c r="J23" s="4">
        <v>18.61</v>
      </c>
      <c r="K23" s="4">
        <v>1</v>
      </c>
      <c r="L23" s="4">
        <v>18.61</v>
      </c>
      <c r="M23" s="4">
        <v>1</v>
      </c>
      <c r="N23" s="4">
        <v>0.12</v>
      </c>
    </row>
  </sheetData>
  <autoFilter ref="A1:N23" xr:uid="{68A7E288-E185-F448-BB05-3328DDCBA4B9}">
    <filterColumn colId="3">
      <customFilters>
        <customFilter val="*Online Video (Sponsored Brands)*"/>
      </customFilters>
    </filterColumn>
  </autoFilter>
  <sortState xmlns:xlrd2="http://schemas.microsoft.com/office/spreadsheetml/2017/richdata2" ref="A2:N23">
    <sortCondition descending="1" ref="J2:J23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399f440-c543-45fa-8134-ee3c853e86c1">
      <Terms xmlns="http://schemas.microsoft.com/office/infopath/2007/PartnerControls"/>
    </lcf76f155ced4ddcb4097134ff3c332f>
    <IMP xmlns="a399f440-c543-45fa-8134-ee3c853e86c1" xsi:nil="true"/>
    <TaxCatchAll xmlns="2135c806-bc65-49c2-b005-2ad17c996be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9076935FC4C8428D432B2E5F682ABF" ma:contentTypeVersion="15" ma:contentTypeDescription="Create a new document." ma:contentTypeScope="" ma:versionID="42956316ab4252819b779a0520431683">
  <xsd:schema xmlns:xsd="http://www.w3.org/2001/XMLSchema" xmlns:xs="http://www.w3.org/2001/XMLSchema" xmlns:p="http://schemas.microsoft.com/office/2006/metadata/properties" xmlns:ns2="a399f440-c543-45fa-8134-ee3c853e86c1" xmlns:ns3="2135c806-bc65-49c2-b005-2ad17c996bef" targetNamespace="http://schemas.microsoft.com/office/2006/metadata/properties" ma:root="true" ma:fieldsID="0bc586d0ae82894214a31142e8c75def" ns2:_="" ns3:_="">
    <xsd:import namespace="a399f440-c543-45fa-8134-ee3c853e86c1"/>
    <xsd:import namespace="2135c806-bc65-49c2-b005-2ad17c996be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IMP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9f440-c543-45fa-8134-ee3c853e86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ada32da4-7c68-4f97-a802-ed2b7431864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IMP" ma:index="22" nillable="true" ma:displayName="IMP" ma:format="Dropdown" ma:internalName="IMP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35c806-bc65-49c2-b005-2ad17c996be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399e834-9878-4276-866c-fe8a12a84d76}" ma:internalName="TaxCatchAll" ma:showField="CatchAllData" ma:web="2135c806-bc65-49c2-b005-2ad17c996be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99AF112-07CE-4724-B9C8-7836F0C8A2A9}">
  <ds:schemaRefs>
    <ds:schemaRef ds:uri="http://schemas.microsoft.com/office/2006/documentManagement/types"/>
    <ds:schemaRef ds:uri="a399f440-c543-45fa-8134-ee3c853e86c1"/>
    <ds:schemaRef ds:uri="http://schemas.openxmlformats.org/package/2006/metadata/core-properties"/>
    <ds:schemaRef ds:uri="http://www.w3.org/XML/1998/namespace"/>
    <ds:schemaRef ds:uri="2135c806-bc65-49c2-b005-2ad17c996bef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8E0EC16-9097-46AB-9701-6FF598C78B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3F3E7E7-934D-4FDC-9A84-840519A4BC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9f440-c543-45fa-8134-ee3c853e86c1"/>
    <ds:schemaRef ds:uri="2135c806-bc65-49c2-b005-2ad17c996be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Analysis</vt:lpstr>
      <vt:lpstr>Conversion Path</vt:lpstr>
      <vt:lpstr>All Campaigns</vt:lpstr>
      <vt:lpstr>Backup</vt:lpstr>
      <vt:lpstr>CVR Path Original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hverma.new@gmail.com</dc:creator>
  <cp:lastModifiedBy>Himanshu Verma</cp:lastModifiedBy>
  <dcterms:created xsi:type="dcterms:W3CDTF">2025-01-20T07:30:40Z</dcterms:created>
  <dcterms:modified xsi:type="dcterms:W3CDTF">2025-02-05T07:26:58Z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0x0101009A9076935FC4C8428D432B2E5F682ABF</vt:lpwstr>
  </property>
  <property fmtid="{D5CDD505-2E9C-101B-9397-08002B2CF9AE}" pid="3" name="MediaServiceImageTags">
    <vt:lpwstr/>
  </property>
</Properties>
</file>